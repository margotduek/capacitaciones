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Ventas" sheetId="2" state="visible" r:id="rId4"/>
    <sheet name="Comisiones" sheetId="3" state="visible" r:id="rId5"/>
    <sheet name="Cobranz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<sst xmlns="http://schemas.openxmlformats.org/spreadsheetml/2006/main" count="506" uniqueCount="92">
  <si>
    <t xml:space="preserve">REPORTE DE VENTAS · MAYO 2026</t>
  </si>
  <si>
    <t xml:space="preserve">Datos limpios y estandarizados · Generado 10-jul-2026</t>
  </si>
  <si>
    <t xml:space="preserve">Ventas totales del mes</t>
  </si>
  <si>
    <t xml:space="preserve">Transacciones válidas</t>
  </si>
  <si>
    <t xml:space="preserve">$2,848,860</t>
  </si>
  <si>
    <t xml:space="preserve">120</t>
  </si>
  <si>
    <t xml:space="preserve">Comisiones a pagar</t>
  </si>
  <si>
    <t xml:space="preserve">Cartera vencida</t>
  </si>
  <si>
    <t xml:space="preserve">$115,151</t>
  </si>
  <si>
    <t xml:space="preserve">$656,400</t>
  </si>
  <si>
    <t xml:space="preserve">% cartera vencida</t>
  </si>
  <si>
    <t xml:space="preserve">Producto líder</t>
  </si>
  <si>
    <t xml:space="preserve">77%</t>
  </si>
  <si>
    <t xml:space="preserve">Laptop Pro 14 (74%)</t>
  </si>
  <si>
    <t xml:space="preserve">RENDIMIENTO POR VENDEDOR</t>
  </si>
  <si>
    <t xml:space="preserve">Vendedor</t>
  </si>
  <si>
    <t xml:space="preserve">Sucursal base</t>
  </si>
  <si>
    <t xml:space="preserve">Meta</t>
  </si>
  <si>
    <t xml:space="preserve">Ventas Abril</t>
  </si>
  <si>
    <t xml:space="preserve">Ventas Mayo</t>
  </si>
  <si>
    <t xml:space="preserve">% Meta</t>
  </si>
  <si>
    <t xml:space="preserve">Tendencia</t>
  </si>
  <si>
    <t xml:space="preserve">Comisión $</t>
  </si>
  <si>
    <t xml:space="preserve">Juan Pérez</t>
  </si>
  <si>
    <t xml:space="preserve">Guadalajara</t>
  </si>
  <si>
    <t xml:space="preserve">Sofía Martínez</t>
  </si>
  <si>
    <t xml:space="preserve">Monterrey</t>
  </si>
  <si>
    <t xml:space="preserve">María López</t>
  </si>
  <si>
    <t xml:space="preserve">CDMX</t>
  </si>
  <si>
    <t xml:space="preserve">Ana Torres</t>
  </si>
  <si>
    <t xml:space="preserve">Luis Gómez</t>
  </si>
  <si>
    <t xml:space="preserve">Carlos Ruiz</t>
  </si>
  <si>
    <t xml:space="preserve">TOTAL</t>
  </si>
  <si>
    <t xml:space="preserve">Fecha</t>
  </si>
  <si>
    <t xml:space="preserve">Producto</t>
  </si>
  <si>
    <t xml:space="preserve">Sucursal</t>
  </si>
  <si>
    <t xml:space="preserve">Cant</t>
  </si>
  <si>
    <t xml:space="preserve">Precio Unit</t>
  </si>
  <si>
    <t xml:space="preserve">Monto Total</t>
  </si>
  <si>
    <t xml:space="preserve">Monitor 27"</t>
  </si>
  <si>
    <t xml:space="preserve">Webcam HD</t>
  </si>
  <si>
    <t xml:space="preserve">Teclado Mecánico</t>
  </si>
  <si>
    <t xml:space="preserve">Mouse Inalámbrico</t>
  </si>
  <si>
    <t xml:space="preserve">Laptop Pro 14</t>
  </si>
  <si>
    <t xml:space="preserve">Meta Mensual</t>
  </si>
  <si>
    <t xml:space="preserve">% Comisión</t>
  </si>
  <si>
    <t xml:space="preserve">Cliente</t>
  </si>
  <si>
    <t xml:space="preserve">Factura</t>
  </si>
  <si>
    <t xml:space="preserve">Fecha Emision</t>
  </si>
  <si>
    <t xml:space="preserve">Fecha Vencimiento</t>
  </si>
  <si>
    <t xml:space="preserve">Monto</t>
  </si>
  <si>
    <t xml:space="preserve">Estatus</t>
  </si>
  <si>
    <t xml:space="preserve">Dias Vencido</t>
  </si>
  <si>
    <t xml:space="preserve">Abarrotes La Esquina</t>
  </si>
  <si>
    <t xml:space="preserve">F-2600</t>
  </si>
  <si>
    <t xml:space="preserve">Pagado</t>
  </si>
  <si>
    <t xml:space="preserve">F-2601</t>
  </si>
  <si>
    <t xml:space="preserve">F-2608</t>
  </si>
  <si>
    <t xml:space="preserve">Restaurante Don Pepe</t>
  </si>
  <si>
    <t xml:space="preserve">F-2612</t>
  </si>
  <si>
    <t xml:space="preserve">Grupo Salinas SA</t>
  </si>
  <si>
    <t xml:space="preserve">F-2616</t>
  </si>
  <si>
    <t xml:space="preserve">F-2619</t>
  </si>
  <si>
    <t xml:space="preserve">F-2623</t>
  </si>
  <si>
    <t xml:space="preserve">Distribuidora Andrade</t>
  </si>
  <si>
    <t xml:space="preserve">F-2605</t>
  </si>
  <si>
    <t xml:space="preserve">Pendiente</t>
  </si>
  <si>
    <t xml:space="preserve">Constructora Vega</t>
  </si>
  <si>
    <t xml:space="preserve">F-2606</t>
  </si>
  <si>
    <t xml:space="preserve">Clinica Santa Fe</t>
  </si>
  <si>
    <t xml:space="preserve">F-2609</t>
  </si>
  <si>
    <t xml:space="preserve">Papeleria Central</t>
  </si>
  <si>
    <t xml:space="preserve">F-2621</t>
  </si>
  <si>
    <t xml:space="preserve">Comercial El Roble</t>
  </si>
  <si>
    <t xml:space="preserve">F-2624</t>
  </si>
  <si>
    <t xml:space="preserve">F-2602</t>
  </si>
  <si>
    <t xml:space="preserve">F-2625</t>
  </si>
  <si>
    <t xml:space="preserve">F-2603</t>
  </si>
  <si>
    <t xml:space="preserve">Ferreteria Lopez</t>
  </si>
  <si>
    <t xml:space="preserve">F-2620</t>
  </si>
  <si>
    <t xml:space="preserve">F-2614</t>
  </si>
  <si>
    <t xml:space="preserve">F-2607</t>
  </si>
  <si>
    <t xml:space="preserve">F-2622</t>
  </si>
  <si>
    <t xml:space="preserve">Autopartes Norte</t>
  </si>
  <si>
    <t xml:space="preserve">F-2604</t>
  </si>
  <si>
    <t xml:space="preserve">Boutique Aurora</t>
  </si>
  <si>
    <t xml:space="preserve">F-2618</t>
  </si>
  <si>
    <t xml:space="preserve">F-2617</t>
  </si>
  <si>
    <t xml:space="preserve">F-2615</t>
  </si>
  <si>
    <t xml:space="preserve">F-2613</t>
  </si>
  <si>
    <t xml:space="preserve">F-2611</t>
  </si>
  <si>
    <t xml:space="preserve">F-2610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</si>
</sst>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"/>
    <numFmt numFmtId="166" formatCode="0%"/>
    <numFmt numFmtId="167" formatCode="\+0%;\-0%"/>
    <numFmt numFmtId="168" formatCode="dd\-mmm\-yyyy"/>
    <numFmt numFmtId="169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475467"/>
      <name val="Arial"/>
      <family val="0"/>
      <charset val="1"/>
    </font>
    <font>
      <sz val="9"/>
      <color rgb="FF475467"/>
      <name val="Arial"/>
      <family val="0"/>
      <charset val="1"/>
    </font>
    <font>
      <b val="true"/>
      <sz val="15"/>
      <color rgb="FF0E7C7B"/>
      <name val="Arial"/>
      <family val="0"/>
      <charset val="1"/>
    </font>
    <font>
      <b val="true"/>
      <sz val="12"/>
      <color rgb="FF1F2A4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F2F4F7"/>
        <bgColor rgb="FFE8EDF2"/>
      </patternFill>
    </fill>
    <fill>
      <patternFill patternType="solid">
        <fgColor rgb="FFE8EDF2"/>
        <bgColor rgb="FFF2F4F7"/>
      </patternFill>
    </fill>
    <fill>
      <patternFill patternType="solid">
        <fgColor rgb="FF0E7C7B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7B"/>
      <rgbColor rgb="FFC0C0C0"/>
      <rgbColor rgb="FF808080"/>
      <rgbColor rgb="FF9999FF"/>
      <rgbColor rgb="FF993366"/>
      <rgbColor rgb="FFF2F4F7"/>
      <rgbColor rgb="FFE8EDF2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467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5" min="4" style="0" width="13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12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/>
      <c r="D4" s="3" t="s">
        <v>3</v>
      </c>
      <c r="E4" s="3"/>
    </row>
    <row r="5" customFormat="false" ht="18.55" hidden="false" customHeight="false" outlineLevel="0" collapsed="false">
      <c r="A5" s="4" t="s">
        <v>4</v>
      </c>
      <c r="B5" s="4"/>
      <c r="D5" s="4" t="s">
        <v>5</v>
      </c>
      <c r="E5" s="4"/>
    </row>
    <row r="7" customFormat="false" ht="15" hidden="false" customHeight="false" outlineLevel="0" collapsed="false">
      <c r="A7" s="3" t="s">
        <v>6</v>
      </c>
      <c r="B7" s="3"/>
      <c r="D7" s="3" t="s">
        <v>7</v>
      </c>
      <c r="E7" s="3"/>
    </row>
    <row r="8" customFormat="false" ht="18.55" hidden="false" customHeight="false" outlineLevel="0" collapsed="false">
      <c r="A8" s="4" t="s">
        <v>8</v>
      </c>
      <c r="B8" s="4"/>
      <c r="D8" s="4" t="s">
        <v>9</v>
      </c>
      <c r="E8" s="4"/>
    </row>
    <row r="10" customFormat="false" ht="15" hidden="false" customHeight="false" outlineLevel="0" collapsed="false">
      <c r="A10" s="3" t="s">
        <v>10</v>
      </c>
      <c r="B10" s="3"/>
      <c r="D10" s="3" t="s">
        <v>11</v>
      </c>
      <c r="E10" s="3"/>
    </row>
    <row r="11" customFormat="false" ht="18.55" hidden="false" customHeight="false" outlineLevel="0" collapsed="false">
      <c r="A11" s="4" t="s">
        <v>12</v>
      </c>
      <c r="B11" s="4"/>
      <c r="D11" s="4" t="s">
        <v>13</v>
      </c>
      <c r="E11" s="4"/>
    </row>
    <row r="13" customFormat="false" ht="15" hidden="false" customHeight="false" outlineLevel="0" collapsed="false">
      <c r="A13" s="5" t="s">
        <v>14</v>
      </c>
      <c r="B13" s="5"/>
      <c r="C13" s="5"/>
      <c r="D13" s="5"/>
      <c r="E13" s="5"/>
      <c r="F13" s="5"/>
    </row>
    <row r="14" customFormat="false" ht="15" hidden="false" customHeight="false" outlineLevel="0" collapsed="false">
      <c r="A14" s="6" t="s">
        <v>15</v>
      </c>
      <c r="B14" s="6" t="s">
        <v>16</v>
      </c>
      <c r="C14" s="6" t="s">
        <v>17</v>
      </c>
      <c r="D14" s="6" t="s">
        <v>18</v>
      </c>
      <c r="E14" s="6" t="s">
        <v>19</v>
      </c>
      <c r="F14" s="6" t="s">
        <v>20</v>
      </c>
      <c r="G14" s="6" t="s">
        <v>21</v>
      </c>
      <c r="H14" s="6" t="s">
        <v>22</v>
      </c>
    </row>
    <row r="15" customFormat="false" ht="15" hidden="false" customHeight="false" outlineLevel="0" collapsed="false">
      <c r="A15" s="7" t="s">
        <v>23</v>
      </c>
      <c r="B15" s="7" t="s">
        <v>24</v>
      </c>
      <c r="C15" s="8" t="n">
        <v>250000</v>
      </c>
      <c r="D15" s="8" t="n">
        <v>759152</v>
      </c>
      <c r="E15" s="8" t="n">
        <v>711150</v>
      </c>
      <c r="F15" s="9" t="n">
        <f aca="false">E15/C15</f>
        <v>2.8446</v>
      </c>
      <c r="G15" s="10" t="n">
        <f aca="false">E15/D15-1</f>
        <v>-0.0632310788880224</v>
      </c>
      <c r="H15" s="8" t="n">
        <f aca="false">E15*0.03</f>
        <v>21334.5</v>
      </c>
    </row>
    <row r="16" customFormat="false" ht="15" hidden="false" customHeight="false" outlineLevel="0" collapsed="false">
      <c r="A16" s="11" t="s">
        <v>25</v>
      </c>
      <c r="B16" s="11" t="s">
        <v>26</v>
      </c>
      <c r="C16" s="12" t="n">
        <v>200000</v>
      </c>
      <c r="D16" s="12" t="n">
        <v>564755</v>
      </c>
      <c r="E16" s="12" t="n">
        <v>532440</v>
      </c>
      <c r="F16" s="13" t="n">
        <f aca="false">E16/C16</f>
        <v>2.6622</v>
      </c>
      <c r="G16" s="14" t="n">
        <f aca="false">E16/D16-1</f>
        <v>-0.0572195022620429</v>
      </c>
      <c r="H16" s="12" t="n">
        <f aca="false">E16*0.06</f>
        <v>31946.4</v>
      </c>
    </row>
    <row r="17" customFormat="false" ht="15" hidden="false" customHeight="false" outlineLevel="0" collapsed="false">
      <c r="A17" s="7" t="s">
        <v>27</v>
      </c>
      <c r="B17" s="7" t="s">
        <v>28</v>
      </c>
      <c r="C17" s="8" t="n">
        <v>300000</v>
      </c>
      <c r="D17" s="8" t="n">
        <v>507115</v>
      </c>
      <c r="E17" s="8" t="n">
        <v>516740</v>
      </c>
      <c r="F17" s="9" t="n">
        <f aca="false">E17/C17</f>
        <v>1.72246666666667</v>
      </c>
      <c r="G17" s="10" t="n">
        <f aca="false">E17/D17-1</f>
        <v>0.0189799157981918</v>
      </c>
      <c r="H17" s="8" t="n">
        <f aca="false">E17*0.05</f>
        <v>25837</v>
      </c>
    </row>
    <row r="18" customFormat="false" ht="15" hidden="false" customHeight="false" outlineLevel="0" collapsed="false">
      <c r="A18" s="11" t="s">
        <v>29</v>
      </c>
      <c r="B18" s="11" t="s">
        <v>28</v>
      </c>
      <c r="C18" s="12" t="n">
        <v>220000</v>
      </c>
      <c r="D18" s="12" t="n">
        <v>776683</v>
      </c>
      <c r="E18" s="12" t="n">
        <v>466010</v>
      </c>
      <c r="F18" s="13" t="n">
        <f aca="false">E18/C18</f>
        <v>2.11822727272727</v>
      </c>
      <c r="G18" s="14" t="n">
        <f aca="false">E18/D18-1</f>
        <v>-0.399999742494686</v>
      </c>
      <c r="H18" s="12" t="n">
        <f aca="false">E18*0.025</f>
        <v>11650.25</v>
      </c>
    </row>
    <row r="19" customFormat="false" ht="15" hidden="false" customHeight="false" outlineLevel="0" collapsed="false">
      <c r="A19" s="7" t="s">
        <v>30</v>
      </c>
      <c r="B19" s="7" t="s">
        <v>24</v>
      </c>
      <c r="C19" s="8" t="n">
        <v>260000</v>
      </c>
      <c r="D19" s="8" t="n">
        <v>232885</v>
      </c>
      <c r="E19" s="8" t="n">
        <v>384260</v>
      </c>
      <c r="F19" s="9" t="n">
        <f aca="false">E19/C19</f>
        <v>1.47792307692308</v>
      </c>
      <c r="G19" s="10" t="n">
        <f aca="false">E19/D19-1</f>
        <v>0.649998926508792</v>
      </c>
      <c r="H19" s="8" t="n">
        <f aca="false">E19*0.035</f>
        <v>13449.1</v>
      </c>
    </row>
    <row r="20" customFormat="false" ht="15" hidden="false" customHeight="false" outlineLevel="0" collapsed="false">
      <c r="A20" s="11" t="s">
        <v>31</v>
      </c>
      <c r="B20" s="11" t="s">
        <v>26</v>
      </c>
      <c r="C20" s="12" t="n">
        <v>280000</v>
      </c>
      <c r="D20" s="12" t="n">
        <v>243300</v>
      </c>
      <c r="E20" s="12" t="n">
        <v>242980</v>
      </c>
      <c r="F20" s="13" t="n">
        <f aca="false">E20/C20</f>
        <v>0.867785714285714</v>
      </c>
      <c r="G20" s="14" t="n">
        <f aca="false">E20/D20-1</f>
        <v>-0.00131524866420063</v>
      </c>
      <c r="H20" s="12" t="n">
        <f aca="false">E20*0.045</f>
        <v>10934.1</v>
      </c>
    </row>
    <row r="21" customFormat="false" ht="15" hidden="false" customHeight="false" outlineLevel="0" collapsed="false">
      <c r="A21" s="15" t="s">
        <v>32</v>
      </c>
      <c r="B21" s="15"/>
      <c r="C21" s="16" t="n">
        <f aca="false">SUM(C15:C20)</f>
        <v>1510000</v>
      </c>
      <c r="D21" s="16" t="n">
        <f aca="false">SUM(D15:D20)</f>
        <v>3083890</v>
      </c>
      <c r="E21" s="16" t="n">
        <f aca="false">SUM(E15:E20)</f>
        <v>2853580</v>
      </c>
      <c r="F21" s="15"/>
      <c r="G21" s="15"/>
      <c r="H21" s="16" t="n">
        <f aca="false">SUM(H15:H20)</f>
        <v>115151.35</v>
      </c>
    </row>
  </sheetData>
  <mergeCells count="15">
    <mergeCell ref="A1:F1"/>
    <mergeCell ref="A2:F2"/>
    <mergeCell ref="A4:B4"/>
    <mergeCell ref="D4:E4"/>
    <mergeCell ref="A5:B5"/>
    <mergeCell ref="D5:E5"/>
    <mergeCell ref="A7:B7"/>
    <mergeCell ref="D7:E7"/>
    <mergeCell ref="A8:B8"/>
    <mergeCell ref="D8:E8"/>
    <mergeCell ref="A10:B10"/>
    <mergeCell ref="D10:E10"/>
    <mergeCell ref="A11:B11"/>
    <mergeCell ref="D11:E11"/>
    <mergeCell ref="A13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0"/>
    <col collapsed="false" customWidth="true" hidden="false" outlineLevel="0" max="3" min="3" style="0" width="17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7" min="6" style="0" width="13"/>
  </cols>
  <sheetData>
    <row r="1" customFormat="false" ht="15" hidden="false" customHeight="false" outlineLevel="0" collapsed="false">
      <c r="A1" s="17" t="s">
        <v>33</v>
      </c>
      <c r="B1" s="17" t="s">
        <v>34</v>
      </c>
      <c r="C1" s="17" t="s">
        <v>15</v>
      </c>
      <c r="D1" s="17" t="s">
        <v>35</v>
      </c>
      <c r="E1" s="17" t="s">
        <v>36</v>
      </c>
      <c r="F1" s="17" t="s">
        <v>37</v>
      </c>
      <c r="G1" s="17" t="s">
        <v>38</v>
      </c>
    </row>
    <row r="2" customFormat="false" ht="15" hidden="false" customHeight="false" outlineLevel="0" collapsed="false">
      <c r="A2" s="18" t="n">
        <v>46143</v>
      </c>
      <c r="B2" s="11" t="s">
        <v>39</v>
      </c>
      <c r="C2" s="11" t="s">
        <v>23</v>
      </c>
      <c r="D2" s="11" t="s">
        <v>28</v>
      </c>
      <c r="E2" s="11" t="n">
        <v>4</v>
      </c>
      <c r="F2" s="12" t="n">
        <v>6200</v>
      </c>
      <c r="G2" s="12" t="n">
        <v>24800</v>
      </c>
    </row>
    <row r="3" customFormat="false" ht="15" hidden="false" customHeight="false" outlineLevel="0" collapsed="false">
      <c r="A3" s="19" t="n">
        <v>46143</v>
      </c>
      <c r="B3" s="7" t="s">
        <v>40</v>
      </c>
      <c r="C3" s="7" t="s">
        <v>31</v>
      </c>
      <c r="D3" s="7" t="s">
        <v>24</v>
      </c>
      <c r="E3" s="7" t="n">
        <v>5</v>
      </c>
      <c r="F3" s="8" t="n">
        <v>1180</v>
      </c>
      <c r="G3" s="8" t="n">
        <v>5900</v>
      </c>
    </row>
    <row r="4" customFormat="false" ht="15" hidden="false" customHeight="false" outlineLevel="0" collapsed="false">
      <c r="A4" s="18" t="n">
        <v>46144</v>
      </c>
      <c r="B4" s="11" t="s">
        <v>41</v>
      </c>
      <c r="C4" s="11" t="s">
        <v>29</v>
      </c>
      <c r="D4" s="11" t="s">
        <v>24</v>
      </c>
      <c r="E4" s="11" t="n">
        <v>2</v>
      </c>
      <c r="F4" s="12" t="n">
        <v>1450</v>
      </c>
      <c r="G4" s="12" t="n">
        <v>2900</v>
      </c>
    </row>
    <row r="5" customFormat="false" ht="15" hidden="false" customHeight="false" outlineLevel="0" collapsed="false">
      <c r="A5" s="19" t="n">
        <v>46144</v>
      </c>
      <c r="B5" s="7" t="s">
        <v>40</v>
      </c>
      <c r="C5" s="7" t="s">
        <v>25</v>
      </c>
      <c r="D5" s="7" t="s">
        <v>26</v>
      </c>
      <c r="E5" s="7" t="n">
        <v>1</v>
      </c>
      <c r="F5" s="8" t="n">
        <v>1180</v>
      </c>
      <c r="G5" s="8" t="n">
        <v>1180</v>
      </c>
    </row>
    <row r="6" customFormat="false" ht="15" hidden="false" customHeight="false" outlineLevel="0" collapsed="false">
      <c r="A6" s="18" t="n">
        <v>46144</v>
      </c>
      <c r="B6" s="11" t="s">
        <v>41</v>
      </c>
      <c r="C6" s="11" t="s">
        <v>27</v>
      </c>
      <c r="D6" s="11" t="s">
        <v>26</v>
      </c>
      <c r="E6" s="11" t="n">
        <v>1</v>
      </c>
      <c r="F6" s="12" t="n">
        <v>1450</v>
      </c>
      <c r="G6" s="12" t="n">
        <v>1450</v>
      </c>
    </row>
    <row r="7" customFormat="false" ht="15" hidden="false" customHeight="false" outlineLevel="0" collapsed="false">
      <c r="A7" s="19" t="n">
        <v>46145</v>
      </c>
      <c r="B7" s="7" t="s">
        <v>42</v>
      </c>
      <c r="C7" s="7" t="s">
        <v>30</v>
      </c>
      <c r="D7" s="7" t="s">
        <v>26</v>
      </c>
      <c r="E7" s="7" t="n">
        <v>5</v>
      </c>
      <c r="F7" s="8" t="n">
        <v>620</v>
      </c>
      <c r="G7" s="8" t="n">
        <v>3100</v>
      </c>
    </row>
    <row r="8" customFormat="false" ht="15" hidden="false" customHeight="false" outlineLevel="0" collapsed="false">
      <c r="A8" s="18" t="n">
        <v>46145</v>
      </c>
      <c r="B8" s="11" t="s">
        <v>39</v>
      </c>
      <c r="C8" s="11" t="s">
        <v>23</v>
      </c>
      <c r="D8" s="11" t="s">
        <v>24</v>
      </c>
      <c r="E8" s="11" t="n">
        <v>4</v>
      </c>
      <c r="F8" s="12" t="n">
        <v>6200</v>
      </c>
      <c r="G8" s="12" t="n">
        <v>24800</v>
      </c>
    </row>
    <row r="9" customFormat="false" ht="15" hidden="false" customHeight="false" outlineLevel="0" collapsed="false">
      <c r="A9" s="19" t="n">
        <v>46145</v>
      </c>
      <c r="B9" s="7" t="s">
        <v>41</v>
      </c>
      <c r="C9" s="7" t="s">
        <v>25</v>
      </c>
      <c r="D9" s="7" t="s">
        <v>26</v>
      </c>
      <c r="E9" s="7" t="n">
        <v>2</v>
      </c>
      <c r="F9" s="8" t="n">
        <v>1450</v>
      </c>
      <c r="G9" s="8" t="n">
        <v>2900</v>
      </c>
    </row>
    <row r="10" customFormat="false" ht="15" hidden="false" customHeight="false" outlineLevel="0" collapsed="false">
      <c r="A10" s="18" t="n">
        <v>46145</v>
      </c>
      <c r="B10" s="11" t="s">
        <v>42</v>
      </c>
      <c r="C10" s="11" t="s">
        <v>29</v>
      </c>
      <c r="D10" s="11" t="s">
        <v>28</v>
      </c>
      <c r="E10" s="11" t="n">
        <v>3</v>
      </c>
      <c r="F10" s="12" t="n">
        <v>620</v>
      </c>
      <c r="G10" s="12" t="n">
        <v>1860</v>
      </c>
    </row>
    <row r="11" customFormat="false" ht="15" hidden="false" customHeight="false" outlineLevel="0" collapsed="false">
      <c r="A11" s="19" t="n">
        <v>46145</v>
      </c>
      <c r="B11" s="7" t="s">
        <v>39</v>
      </c>
      <c r="C11" s="7" t="s">
        <v>30</v>
      </c>
      <c r="D11" s="7" t="s">
        <v>28</v>
      </c>
      <c r="E11" s="7" t="n">
        <v>6</v>
      </c>
      <c r="F11" s="8" t="n">
        <v>6200</v>
      </c>
      <c r="G11" s="8" t="n">
        <v>37200</v>
      </c>
    </row>
    <row r="12" customFormat="false" ht="15" hidden="false" customHeight="false" outlineLevel="0" collapsed="false">
      <c r="A12" s="18" t="n">
        <v>46145</v>
      </c>
      <c r="B12" s="11" t="s">
        <v>41</v>
      </c>
      <c r="C12" s="11" t="s">
        <v>29</v>
      </c>
      <c r="D12" s="11" t="s">
        <v>24</v>
      </c>
      <c r="E12" s="11" t="n">
        <v>2</v>
      </c>
      <c r="F12" s="12" t="n">
        <v>1450</v>
      </c>
      <c r="G12" s="12" t="n">
        <v>2900</v>
      </c>
    </row>
    <row r="13" customFormat="false" ht="15" hidden="false" customHeight="false" outlineLevel="0" collapsed="false">
      <c r="A13" s="19" t="n">
        <v>46145</v>
      </c>
      <c r="B13" s="7" t="s">
        <v>40</v>
      </c>
      <c r="C13" s="7" t="s">
        <v>31</v>
      </c>
      <c r="D13" s="7" t="s">
        <v>26</v>
      </c>
      <c r="E13" s="7" t="n">
        <v>4</v>
      </c>
      <c r="F13" s="8" t="n">
        <v>1180</v>
      </c>
      <c r="G13" s="8" t="n">
        <v>4720</v>
      </c>
    </row>
    <row r="14" customFormat="false" ht="15" hidden="false" customHeight="false" outlineLevel="0" collapsed="false">
      <c r="A14" s="18" t="n">
        <v>46145</v>
      </c>
      <c r="B14" s="11" t="s">
        <v>42</v>
      </c>
      <c r="C14" s="11" t="s">
        <v>31</v>
      </c>
      <c r="D14" s="11" t="s">
        <v>28</v>
      </c>
      <c r="E14" s="11" t="n">
        <v>3</v>
      </c>
      <c r="F14" s="12" t="n">
        <v>620</v>
      </c>
      <c r="G14" s="12" t="n">
        <v>1860</v>
      </c>
    </row>
    <row r="15" customFormat="false" ht="15" hidden="false" customHeight="false" outlineLevel="0" collapsed="false">
      <c r="A15" s="19" t="n">
        <v>46146</v>
      </c>
      <c r="B15" s="7" t="s">
        <v>40</v>
      </c>
      <c r="C15" s="7" t="s">
        <v>31</v>
      </c>
      <c r="D15" s="7" t="s">
        <v>26</v>
      </c>
      <c r="E15" s="7" t="n">
        <v>2</v>
      </c>
      <c r="F15" s="8" t="n">
        <v>1180</v>
      </c>
      <c r="G15" s="8" t="n">
        <v>2360</v>
      </c>
    </row>
    <row r="16" customFormat="false" ht="15" hidden="false" customHeight="false" outlineLevel="0" collapsed="false">
      <c r="A16" s="18" t="n">
        <v>46147</v>
      </c>
      <c r="B16" s="11" t="s">
        <v>41</v>
      </c>
      <c r="C16" s="11" t="s">
        <v>31</v>
      </c>
      <c r="D16" s="11" t="s">
        <v>24</v>
      </c>
      <c r="E16" s="11" t="n">
        <v>6</v>
      </c>
      <c r="F16" s="12" t="n">
        <v>1450</v>
      </c>
      <c r="G16" s="12" t="n">
        <v>8700</v>
      </c>
    </row>
    <row r="17" customFormat="false" ht="15" hidden="false" customHeight="false" outlineLevel="0" collapsed="false">
      <c r="A17" s="19" t="n">
        <v>46147</v>
      </c>
      <c r="B17" s="7" t="s">
        <v>42</v>
      </c>
      <c r="C17" s="7" t="s">
        <v>23</v>
      </c>
      <c r="D17" s="7" t="s">
        <v>26</v>
      </c>
      <c r="E17" s="7" t="n">
        <v>3</v>
      </c>
      <c r="F17" s="8" t="n">
        <v>620</v>
      </c>
      <c r="G17" s="8" t="n">
        <v>1860</v>
      </c>
    </row>
    <row r="18" customFormat="false" ht="15" hidden="false" customHeight="false" outlineLevel="0" collapsed="false">
      <c r="A18" s="18" t="n">
        <v>46147</v>
      </c>
      <c r="B18" s="11" t="s">
        <v>42</v>
      </c>
      <c r="C18" s="11" t="s">
        <v>27</v>
      </c>
      <c r="D18" s="11" t="s">
        <v>26</v>
      </c>
      <c r="E18" s="11" t="n">
        <v>2</v>
      </c>
      <c r="F18" s="12" t="n">
        <v>620</v>
      </c>
      <c r="G18" s="12" t="n">
        <v>1240</v>
      </c>
    </row>
    <row r="19" customFormat="false" ht="15" hidden="false" customHeight="false" outlineLevel="0" collapsed="false">
      <c r="A19" s="19" t="n">
        <v>46147</v>
      </c>
      <c r="B19" s="7" t="s">
        <v>43</v>
      </c>
      <c r="C19" s="7" t="s">
        <v>25</v>
      </c>
      <c r="D19" s="7" t="s">
        <v>28</v>
      </c>
      <c r="E19" s="7" t="n">
        <v>6</v>
      </c>
      <c r="F19" s="8" t="n">
        <v>24500</v>
      </c>
      <c r="G19" s="8" t="n">
        <v>147000</v>
      </c>
    </row>
    <row r="20" customFormat="false" ht="15" hidden="false" customHeight="false" outlineLevel="0" collapsed="false">
      <c r="A20" s="18" t="n">
        <v>46148</v>
      </c>
      <c r="B20" s="11" t="s">
        <v>43</v>
      </c>
      <c r="C20" s="11" t="s">
        <v>23</v>
      </c>
      <c r="D20" s="11" t="s">
        <v>24</v>
      </c>
      <c r="E20" s="11" t="n">
        <v>6</v>
      </c>
      <c r="F20" s="12" t="n">
        <v>24500</v>
      </c>
      <c r="G20" s="12" t="n">
        <v>147000</v>
      </c>
    </row>
    <row r="21" customFormat="false" ht="15" hidden="false" customHeight="false" outlineLevel="0" collapsed="false">
      <c r="A21" s="19" t="n">
        <v>46148</v>
      </c>
      <c r="B21" s="7" t="s">
        <v>42</v>
      </c>
      <c r="C21" s="7" t="s">
        <v>29</v>
      </c>
      <c r="D21" s="7" t="s">
        <v>28</v>
      </c>
      <c r="E21" s="7" t="n">
        <v>6</v>
      </c>
      <c r="F21" s="8" t="n">
        <v>620</v>
      </c>
      <c r="G21" s="8" t="n">
        <v>3720</v>
      </c>
    </row>
    <row r="22" customFormat="false" ht="15" hidden="false" customHeight="false" outlineLevel="0" collapsed="false">
      <c r="A22" s="18" t="n">
        <v>46148</v>
      </c>
      <c r="B22" s="11" t="s">
        <v>39</v>
      </c>
      <c r="C22" s="11" t="s">
        <v>30</v>
      </c>
      <c r="D22" s="11" t="s">
        <v>26</v>
      </c>
      <c r="E22" s="11" t="n">
        <v>4</v>
      </c>
      <c r="F22" s="12" t="n">
        <v>6200</v>
      </c>
      <c r="G22" s="12" t="n">
        <v>24800</v>
      </c>
    </row>
    <row r="23" customFormat="false" ht="15" hidden="false" customHeight="false" outlineLevel="0" collapsed="false">
      <c r="A23" s="19" t="n">
        <v>46148</v>
      </c>
      <c r="B23" s="7" t="s">
        <v>40</v>
      </c>
      <c r="C23" s="7" t="s">
        <v>23</v>
      </c>
      <c r="D23" s="7" t="s">
        <v>28</v>
      </c>
      <c r="E23" s="7" t="n">
        <v>-1</v>
      </c>
      <c r="F23" s="8" t="n">
        <v>1180</v>
      </c>
      <c r="G23" s="8" t="n">
        <v>-1180</v>
      </c>
    </row>
    <row r="24" customFormat="false" ht="15" hidden="false" customHeight="false" outlineLevel="0" collapsed="false">
      <c r="A24" s="18" t="n">
        <v>46149</v>
      </c>
      <c r="B24" s="11" t="s">
        <v>39</v>
      </c>
      <c r="C24" s="11" t="s">
        <v>27</v>
      </c>
      <c r="D24" s="11" t="s">
        <v>24</v>
      </c>
      <c r="E24" s="11" t="n">
        <v>4</v>
      </c>
      <c r="F24" s="12" t="n">
        <v>6200</v>
      </c>
      <c r="G24" s="12" t="n">
        <v>24800</v>
      </c>
    </row>
    <row r="25" customFormat="false" ht="15" hidden="false" customHeight="false" outlineLevel="0" collapsed="false">
      <c r="A25" s="19" t="n">
        <v>46149</v>
      </c>
      <c r="B25" s="7" t="s">
        <v>42</v>
      </c>
      <c r="C25" s="7" t="s">
        <v>31</v>
      </c>
      <c r="D25" s="7" t="s">
        <v>28</v>
      </c>
      <c r="E25" s="7" t="n">
        <v>3</v>
      </c>
      <c r="F25" s="8" t="n">
        <v>620</v>
      </c>
      <c r="G25" s="8" t="n">
        <v>1860</v>
      </c>
    </row>
    <row r="26" customFormat="false" ht="15" hidden="false" customHeight="false" outlineLevel="0" collapsed="false">
      <c r="A26" s="18" t="n">
        <v>46149</v>
      </c>
      <c r="B26" s="11" t="s">
        <v>41</v>
      </c>
      <c r="C26" s="11" t="s">
        <v>23</v>
      </c>
      <c r="D26" s="11" t="s">
        <v>28</v>
      </c>
      <c r="E26" s="11" t="n">
        <v>6</v>
      </c>
      <c r="F26" s="12" t="n">
        <v>1450</v>
      </c>
      <c r="G26" s="12" t="n">
        <v>8700</v>
      </c>
    </row>
    <row r="27" customFormat="false" ht="15" hidden="false" customHeight="false" outlineLevel="0" collapsed="false">
      <c r="A27" s="19" t="n">
        <v>46149</v>
      </c>
      <c r="B27" s="7" t="s">
        <v>39</v>
      </c>
      <c r="C27" s="7" t="s">
        <v>25</v>
      </c>
      <c r="D27" s="7" t="s">
        <v>24</v>
      </c>
      <c r="E27" s="7" t="n">
        <v>6</v>
      </c>
      <c r="F27" s="8" t="n">
        <v>6200</v>
      </c>
      <c r="G27" s="8" t="n">
        <v>37200</v>
      </c>
    </row>
    <row r="28" customFormat="false" ht="15" hidden="false" customHeight="false" outlineLevel="0" collapsed="false">
      <c r="A28" s="18" t="n">
        <v>46149</v>
      </c>
      <c r="B28" s="11" t="s">
        <v>40</v>
      </c>
      <c r="C28" s="11" t="s">
        <v>31</v>
      </c>
      <c r="D28" s="11" t="s">
        <v>28</v>
      </c>
      <c r="E28" s="11" t="n">
        <v>6</v>
      </c>
      <c r="F28" s="12" t="n">
        <v>1180</v>
      </c>
      <c r="G28" s="12" t="n">
        <v>7080</v>
      </c>
    </row>
    <row r="29" customFormat="false" ht="15" hidden="false" customHeight="false" outlineLevel="0" collapsed="false">
      <c r="A29" s="19" t="n">
        <v>46150</v>
      </c>
      <c r="B29" s="7" t="s">
        <v>43</v>
      </c>
      <c r="C29" s="7" t="s">
        <v>31</v>
      </c>
      <c r="D29" s="7" t="s">
        <v>28</v>
      </c>
      <c r="E29" s="7" t="n">
        <v>2</v>
      </c>
      <c r="F29" s="8" t="n">
        <v>24500</v>
      </c>
      <c r="G29" s="8" t="n">
        <v>49000</v>
      </c>
    </row>
    <row r="30" customFormat="false" ht="15" hidden="false" customHeight="false" outlineLevel="0" collapsed="false">
      <c r="A30" s="18" t="n">
        <v>46150</v>
      </c>
      <c r="B30" s="11" t="s">
        <v>42</v>
      </c>
      <c r="C30" s="11" t="s">
        <v>31</v>
      </c>
      <c r="D30" s="11" t="s">
        <v>24</v>
      </c>
      <c r="E30" s="11" t="n">
        <v>1</v>
      </c>
      <c r="F30" s="12" t="n">
        <v>620</v>
      </c>
      <c r="G30" s="12" t="n">
        <v>620</v>
      </c>
    </row>
    <row r="31" customFormat="false" ht="15" hidden="false" customHeight="false" outlineLevel="0" collapsed="false">
      <c r="A31" s="19" t="n">
        <v>46150</v>
      </c>
      <c r="B31" s="7" t="s">
        <v>39</v>
      </c>
      <c r="C31" s="7" t="s">
        <v>27</v>
      </c>
      <c r="D31" s="7" t="s">
        <v>26</v>
      </c>
      <c r="E31" s="7" t="n">
        <v>2</v>
      </c>
      <c r="F31" s="8" t="n">
        <v>6200</v>
      </c>
      <c r="G31" s="8" t="n">
        <v>12400</v>
      </c>
    </row>
    <row r="32" customFormat="false" ht="15" hidden="false" customHeight="false" outlineLevel="0" collapsed="false">
      <c r="A32" s="18" t="n">
        <v>46150</v>
      </c>
      <c r="B32" s="11" t="s">
        <v>41</v>
      </c>
      <c r="C32" s="11" t="s">
        <v>30</v>
      </c>
      <c r="D32" s="11" t="s">
        <v>24</v>
      </c>
      <c r="E32" s="11" t="n">
        <v>4</v>
      </c>
      <c r="F32" s="12" t="n">
        <v>1450</v>
      </c>
      <c r="G32" s="12" t="n">
        <v>5800</v>
      </c>
    </row>
    <row r="33" customFormat="false" ht="15" hidden="false" customHeight="false" outlineLevel="0" collapsed="false">
      <c r="A33" s="19" t="n">
        <v>46150</v>
      </c>
      <c r="B33" s="7" t="s">
        <v>39</v>
      </c>
      <c r="C33" s="7" t="s">
        <v>23</v>
      </c>
      <c r="D33" s="7" t="s">
        <v>26</v>
      </c>
      <c r="E33" s="7" t="n">
        <v>4</v>
      </c>
      <c r="F33" s="8" t="n">
        <v>6200</v>
      </c>
      <c r="G33" s="8" t="n">
        <v>24800</v>
      </c>
    </row>
    <row r="34" customFormat="false" ht="15" hidden="false" customHeight="false" outlineLevel="0" collapsed="false">
      <c r="A34" s="18" t="n">
        <v>46151</v>
      </c>
      <c r="B34" s="11" t="s">
        <v>39</v>
      </c>
      <c r="C34" s="11" t="s">
        <v>23</v>
      </c>
      <c r="D34" s="11" t="s">
        <v>28</v>
      </c>
      <c r="E34" s="11" t="n">
        <v>1</v>
      </c>
      <c r="F34" s="12" t="n">
        <v>6200</v>
      </c>
      <c r="G34" s="12" t="n">
        <v>6200</v>
      </c>
    </row>
    <row r="35" customFormat="false" ht="15" hidden="false" customHeight="false" outlineLevel="0" collapsed="false">
      <c r="A35" s="19" t="n">
        <v>46151</v>
      </c>
      <c r="B35" s="7" t="s">
        <v>39</v>
      </c>
      <c r="C35" s="7" t="s">
        <v>27</v>
      </c>
      <c r="D35" s="7" t="s">
        <v>28</v>
      </c>
      <c r="E35" s="7" t="n">
        <v>4</v>
      </c>
      <c r="F35" s="8" t="n">
        <v>6200</v>
      </c>
      <c r="G35" s="8" t="n">
        <v>24800</v>
      </c>
    </row>
    <row r="36" customFormat="false" ht="15" hidden="false" customHeight="false" outlineLevel="0" collapsed="false">
      <c r="A36" s="18" t="n">
        <v>46151</v>
      </c>
      <c r="B36" s="11" t="s">
        <v>40</v>
      </c>
      <c r="C36" s="11" t="s">
        <v>25</v>
      </c>
      <c r="D36" s="11" t="s">
        <v>24</v>
      </c>
      <c r="E36" s="11" t="n">
        <v>3</v>
      </c>
      <c r="F36" s="12" t="n">
        <v>1180</v>
      </c>
      <c r="G36" s="12" t="n">
        <v>3540</v>
      </c>
    </row>
    <row r="37" customFormat="false" ht="15" hidden="false" customHeight="false" outlineLevel="0" collapsed="false">
      <c r="A37" s="19" t="n">
        <v>46151</v>
      </c>
      <c r="B37" s="7" t="s">
        <v>43</v>
      </c>
      <c r="C37" s="7" t="s">
        <v>30</v>
      </c>
      <c r="D37" s="7" t="s">
        <v>26</v>
      </c>
      <c r="E37" s="7" t="n">
        <v>6</v>
      </c>
      <c r="F37" s="8" t="n">
        <v>24500</v>
      </c>
      <c r="G37" s="8" t="n">
        <v>147000</v>
      </c>
    </row>
    <row r="38" customFormat="false" ht="15" hidden="false" customHeight="false" outlineLevel="0" collapsed="false">
      <c r="A38" s="18" t="n">
        <v>46151</v>
      </c>
      <c r="B38" s="11" t="s">
        <v>43</v>
      </c>
      <c r="C38" s="11" t="s">
        <v>23</v>
      </c>
      <c r="D38" s="11" t="s">
        <v>28</v>
      </c>
      <c r="E38" s="11" t="n">
        <v>6</v>
      </c>
      <c r="F38" s="12" t="n">
        <v>24500</v>
      </c>
      <c r="G38" s="12" t="n">
        <v>147000</v>
      </c>
    </row>
    <row r="39" customFormat="false" ht="15" hidden="false" customHeight="false" outlineLevel="0" collapsed="false">
      <c r="A39" s="19" t="n">
        <v>46151</v>
      </c>
      <c r="B39" s="7" t="s">
        <v>41</v>
      </c>
      <c r="C39" s="7" t="s">
        <v>25</v>
      </c>
      <c r="D39" s="7" t="s">
        <v>28</v>
      </c>
      <c r="E39" s="7" t="n">
        <v>1</v>
      </c>
      <c r="F39" s="8" t="n">
        <v>1450</v>
      </c>
      <c r="G39" s="8" t="n">
        <v>1450</v>
      </c>
    </row>
    <row r="40" customFormat="false" ht="15" hidden="false" customHeight="false" outlineLevel="0" collapsed="false">
      <c r="A40" s="18" t="n">
        <v>46151</v>
      </c>
      <c r="B40" s="11" t="s">
        <v>42</v>
      </c>
      <c r="C40" s="11" t="s">
        <v>29</v>
      </c>
      <c r="D40" s="11" t="s">
        <v>28</v>
      </c>
      <c r="E40" s="11" t="n">
        <v>4</v>
      </c>
      <c r="F40" s="12" t="n">
        <v>620</v>
      </c>
      <c r="G40" s="12" t="n">
        <v>2480</v>
      </c>
    </row>
    <row r="41" customFormat="false" ht="15" hidden="false" customHeight="false" outlineLevel="0" collapsed="false">
      <c r="A41" s="19" t="n">
        <v>46152</v>
      </c>
      <c r="B41" s="7" t="s">
        <v>41</v>
      </c>
      <c r="C41" s="7" t="s">
        <v>25</v>
      </c>
      <c r="D41" s="7" t="s">
        <v>24</v>
      </c>
      <c r="E41" s="7" t="n">
        <v>4</v>
      </c>
      <c r="F41" s="8" t="n">
        <v>1450</v>
      </c>
      <c r="G41" s="8" t="n">
        <v>5800</v>
      </c>
    </row>
    <row r="42" customFormat="false" ht="15" hidden="false" customHeight="false" outlineLevel="0" collapsed="false">
      <c r="A42" s="18" t="n">
        <v>46152</v>
      </c>
      <c r="B42" s="11" t="s">
        <v>43</v>
      </c>
      <c r="C42" s="11" t="s">
        <v>23</v>
      </c>
      <c r="D42" s="11" t="s">
        <v>24</v>
      </c>
      <c r="E42" s="11" t="n">
        <v>4</v>
      </c>
      <c r="F42" s="12" t="n">
        <v>24500</v>
      </c>
      <c r="G42" s="12" t="n">
        <v>98000</v>
      </c>
    </row>
    <row r="43" customFormat="false" ht="15" hidden="false" customHeight="false" outlineLevel="0" collapsed="false">
      <c r="A43" s="19" t="n">
        <v>46152</v>
      </c>
      <c r="B43" s="7" t="s">
        <v>42</v>
      </c>
      <c r="C43" s="7" t="s">
        <v>25</v>
      </c>
      <c r="D43" s="7" t="s">
        <v>28</v>
      </c>
      <c r="E43" s="7" t="n">
        <v>6</v>
      </c>
      <c r="F43" s="8" t="n">
        <v>620</v>
      </c>
      <c r="G43" s="8" t="n">
        <v>3720</v>
      </c>
    </row>
    <row r="44" customFormat="false" ht="15" hidden="false" customHeight="false" outlineLevel="0" collapsed="false">
      <c r="A44" s="18" t="n">
        <v>46153</v>
      </c>
      <c r="B44" s="11" t="s">
        <v>41</v>
      </c>
      <c r="C44" s="11" t="s">
        <v>29</v>
      </c>
      <c r="D44" s="11" t="s">
        <v>28</v>
      </c>
      <c r="E44" s="11" t="n">
        <v>4</v>
      </c>
      <c r="F44" s="12" t="n">
        <v>1450</v>
      </c>
      <c r="G44" s="12" t="n">
        <v>5800</v>
      </c>
    </row>
    <row r="45" customFormat="false" ht="15" hidden="false" customHeight="false" outlineLevel="0" collapsed="false">
      <c r="A45" s="19" t="n">
        <v>46153</v>
      </c>
      <c r="B45" s="7" t="s">
        <v>43</v>
      </c>
      <c r="C45" s="7" t="s">
        <v>31</v>
      </c>
      <c r="D45" s="7" t="s">
        <v>28</v>
      </c>
      <c r="E45" s="7" t="n">
        <v>3</v>
      </c>
      <c r="F45" s="8" t="n">
        <v>24500</v>
      </c>
      <c r="G45" s="8" t="n">
        <v>73500</v>
      </c>
    </row>
    <row r="46" customFormat="false" ht="15" hidden="false" customHeight="false" outlineLevel="0" collapsed="false">
      <c r="A46" s="18" t="n">
        <v>46153</v>
      </c>
      <c r="B46" s="11" t="s">
        <v>43</v>
      </c>
      <c r="C46" s="11" t="s">
        <v>25</v>
      </c>
      <c r="D46" s="11" t="s">
        <v>24</v>
      </c>
      <c r="E46" s="11" t="n">
        <v>1</v>
      </c>
      <c r="F46" s="12" t="n">
        <v>24500</v>
      </c>
      <c r="G46" s="12" t="n">
        <v>24500</v>
      </c>
    </row>
    <row r="47" customFormat="false" ht="15" hidden="false" customHeight="false" outlineLevel="0" collapsed="false">
      <c r="A47" s="19" t="n">
        <v>46154</v>
      </c>
      <c r="B47" s="7" t="s">
        <v>40</v>
      </c>
      <c r="C47" s="7" t="s">
        <v>27</v>
      </c>
      <c r="D47" s="7" t="s">
        <v>26</v>
      </c>
      <c r="E47" s="7" t="n">
        <v>5</v>
      </c>
      <c r="F47" s="8" t="n">
        <v>1180</v>
      </c>
      <c r="G47" s="8" t="n">
        <v>5900</v>
      </c>
    </row>
    <row r="48" customFormat="false" ht="15" hidden="false" customHeight="false" outlineLevel="0" collapsed="false">
      <c r="A48" s="18" t="n">
        <v>46154</v>
      </c>
      <c r="B48" s="11" t="s">
        <v>42</v>
      </c>
      <c r="C48" s="11" t="s">
        <v>31</v>
      </c>
      <c r="D48" s="11" t="s">
        <v>26</v>
      </c>
      <c r="E48" s="11" t="n">
        <v>4</v>
      </c>
      <c r="F48" s="12" t="n">
        <v>620</v>
      </c>
      <c r="G48" s="12" t="n">
        <v>2480</v>
      </c>
    </row>
    <row r="49" customFormat="false" ht="15" hidden="false" customHeight="false" outlineLevel="0" collapsed="false">
      <c r="A49" s="19" t="n">
        <v>46155</v>
      </c>
      <c r="B49" s="7" t="s">
        <v>41</v>
      </c>
      <c r="C49" s="7" t="s">
        <v>25</v>
      </c>
      <c r="D49" s="7" t="s">
        <v>28</v>
      </c>
      <c r="E49" s="7" t="n">
        <v>3</v>
      </c>
      <c r="F49" s="8" t="n">
        <v>1450</v>
      </c>
      <c r="G49" s="8" t="n">
        <v>4350</v>
      </c>
    </row>
    <row r="50" customFormat="false" ht="15" hidden="false" customHeight="false" outlineLevel="0" collapsed="false">
      <c r="A50" s="18" t="n">
        <v>46155</v>
      </c>
      <c r="B50" s="11" t="s">
        <v>39</v>
      </c>
      <c r="C50" s="11" t="s">
        <v>31</v>
      </c>
      <c r="D50" s="11" t="s">
        <v>28</v>
      </c>
      <c r="E50" s="11" t="n">
        <v>3</v>
      </c>
      <c r="F50" s="12" t="n">
        <v>6200</v>
      </c>
      <c r="G50" s="12" t="n">
        <v>18600</v>
      </c>
    </row>
    <row r="51" customFormat="false" ht="15" hidden="false" customHeight="false" outlineLevel="0" collapsed="false">
      <c r="A51" s="19" t="n">
        <v>46155</v>
      </c>
      <c r="B51" s="7" t="s">
        <v>41</v>
      </c>
      <c r="C51" s="7" t="s">
        <v>31</v>
      </c>
      <c r="D51" s="7" t="s">
        <v>26</v>
      </c>
      <c r="E51" s="7" t="n">
        <v>5</v>
      </c>
      <c r="F51" s="8" t="n">
        <v>1450</v>
      </c>
      <c r="G51" s="8" t="n">
        <v>7250</v>
      </c>
    </row>
    <row r="52" customFormat="false" ht="15" hidden="false" customHeight="false" outlineLevel="0" collapsed="false">
      <c r="A52" s="18" t="n">
        <v>46155</v>
      </c>
      <c r="B52" s="11" t="s">
        <v>40</v>
      </c>
      <c r="C52" s="11" t="s">
        <v>23</v>
      </c>
      <c r="D52" s="11" t="s">
        <v>26</v>
      </c>
      <c r="E52" s="11" t="n">
        <v>1</v>
      </c>
      <c r="F52" s="12" t="n">
        <v>1180</v>
      </c>
      <c r="G52" s="12" t="n">
        <v>1180</v>
      </c>
    </row>
    <row r="53" customFormat="false" ht="15" hidden="false" customHeight="false" outlineLevel="0" collapsed="false">
      <c r="A53" s="19" t="n">
        <v>46155</v>
      </c>
      <c r="B53" s="7" t="s">
        <v>39</v>
      </c>
      <c r="C53" s="7" t="s">
        <v>31</v>
      </c>
      <c r="D53" s="7" t="s">
        <v>28</v>
      </c>
      <c r="E53" s="7" t="n">
        <v>1</v>
      </c>
      <c r="F53" s="8" t="n">
        <v>6200</v>
      </c>
      <c r="G53" s="8" t="n">
        <v>6200</v>
      </c>
    </row>
    <row r="54" customFormat="false" ht="15" hidden="false" customHeight="false" outlineLevel="0" collapsed="false">
      <c r="A54" s="18" t="n">
        <v>46156</v>
      </c>
      <c r="B54" s="11" t="s">
        <v>43</v>
      </c>
      <c r="C54" s="11" t="s">
        <v>29</v>
      </c>
      <c r="D54" s="11" t="s">
        <v>24</v>
      </c>
      <c r="E54" s="11" t="n">
        <v>5</v>
      </c>
      <c r="F54" s="12" t="n">
        <v>24500</v>
      </c>
      <c r="G54" s="12" t="n">
        <v>122500</v>
      </c>
    </row>
    <row r="55" customFormat="false" ht="15" hidden="false" customHeight="false" outlineLevel="0" collapsed="false">
      <c r="A55" s="19" t="n">
        <v>46156</v>
      </c>
      <c r="B55" s="7" t="s">
        <v>41</v>
      </c>
      <c r="C55" s="7" t="s">
        <v>25</v>
      </c>
      <c r="D55" s="7" t="s">
        <v>26</v>
      </c>
      <c r="E55" s="7" t="n">
        <v>6</v>
      </c>
      <c r="F55" s="8" t="n">
        <v>1450</v>
      </c>
      <c r="G55" s="8" t="n">
        <v>8700</v>
      </c>
    </row>
    <row r="56" customFormat="false" ht="15" hidden="false" customHeight="false" outlineLevel="0" collapsed="false">
      <c r="A56" s="18" t="n">
        <v>46156</v>
      </c>
      <c r="B56" s="11" t="s">
        <v>43</v>
      </c>
      <c r="C56" s="11" t="s">
        <v>23</v>
      </c>
      <c r="D56" s="11" t="s">
        <v>24</v>
      </c>
      <c r="E56" s="11" t="n">
        <v>4</v>
      </c>
      <c r="F56" s="12" t="n">
        <v>24500</v>
      </c>
      <c r="G56" s="12" t="n">
        <v>98000</v>
      </c>
    </row>
    <row r="57" customFormat="false" ht="15" hidden="false" customHeight="false" outlineLevel="0" collapsed="false">
      <c r="A57" s="19" t="n">
        <v>46156</v>
      </c>
      <c r="B57" s="7" t="s">
        <v>42</v>
      </c>
      <c r="C57" s="7" t="s">
        <v>31</v>
      </c>
      <c r="D57" s="7" t="s">
        <v>28</v>
      </c>
      <c r="E57" s="7" t="n">
        <v>1</v>
      </c>
      <c r="F57" s="8" t="n">
        <v>620</v>
      </c>
      <c r="G57" s="8" t="n">
        <v>620</v>
      </c>
    </row>
    <row r="58" customFormat="false" ht="15" hidden="false" customHeight="false" outlineLevel="0" collapsed="false">
      <c r="A58" s="18" t="n">
        <v>46157</v>
      </c>
      <c r="B58" s="11" t="s">
        <v>42</v>
      </c>
      <c r="C58" s="11" t="s">
        <v>25</v>
      </c>
      <c r="D58" s="11" t="s">
        <v>26</v>
      </c>
      <c r="E58" s="11" t="n">
        <v>1</v>
      </c>
      <c r="F58" s="12" t="n">
        <v>620</v>
      </c>
      <c r="G58" s="12" t="n">
        <v>620</v>
      </c>
    </row>
    <row r="59" customFormat="false" ht="15" hidden="false" customHeight="false" outlineLevel="0" collapsed="false">
      <c r="A59" s="19" t="n">
        <v>46157</v>
      </c>
      <c r="B59" s="7" t="s">
        <v>39</v>
      </c>
      <c r="C59" s="7" t="s">
        <v>27</v>
      </c>
      <c r="D59" s="7" t="s">
        <v>26</v>
      </c>
      <c r="E59" s="7" t="n">
        <v>1</v>
      </c>
      <c r="F59" s="8" t="n">
        <v>6200</v>
      </c>
      <c r="G59" s="8" t="n">
        <v>6200</v>
      </c>
    </row>
    <row r="60" customFormat="false" ht="15" hidden="false" customHeight="false" outlineLevel="0" collapsed="false">
      <c r="A60" s="18" t="n">
        <v>46158</v>
      </c>
      <c r="B60" s="11" t="s">
        <v>39</v>
      </c>
      <c r="C60" s="11" t="s">
        <v>29</v>
      </c>
      <c r="D60" s="11" t="s">
        <v>24</v>
      </c>
      <c r="E60" s="11" t="n">
        <v>6</v>
      </c>
      <c r="F60" s="12" t="n">
        <v>6200</v>
      </c>
      <c r="G60" s="12" t="n">
        <v>37200</v>
      </c>
    </row>
    <row r="61" customFormat="false" ht="15" hidden="false" customHeight="false" outlineLevel="0" collapsed="false">
      <c r="A61" s="19" t="n">
        <v>46158</v>
      </c>
      <c r="B61" s="7" t="s">
        <v>39</v>
      </c>
      <c r="C61" s="7" t="s">
        <v>23</v>
      </c>
      <c r="D61" s="7" t="s">
        <v>28</v>
      </c>
      <c r="E61" s="7" t="n">
        <v>5</v>
      </c>
      <c r="F61" s="8" t="n">
        <v>6200</v>
      </c>
      <c r="G61" s="8" t="n">
        <v>31000</v>
      </c>
    </row>
    <row r="62" customFormat="false" ht="15" hidden="false" customHeight="false" outlineLevel="0" collapsed="false">
      <c r="A62" s="18" t="n">
        <v>46158</v>
      </c>
      <c r="B62" s="11" t="s">
        <v>40</v>
      </c>
      <c r="C62" s="11" t="s">
        <v>29</v>
      </c>
      <c r="D62" s="11" t="s">
        <v>26</v>
      </c>
      <c r="E62" s="11" t="n">
        <v>4</v>
      </c>
      <c r="F62" s="12" t="n">
        <v>1180</v>
      </c>
      <c r="G62" s="12" t="n">
        <v>4720</v>
      </c>
    </row>
    <row r="63" customFormat="false" ht="15" hidden="false" customHeight="false" outlineLevel="0" collapsed="false">
      <c r="A63" s="19" t="n">
        <v>46158</v>
      </c>
      <c r="B63" s="7" t="s">
        <v>43</v>
      </c>
      <c r="C63" s="7" t="s">
        <v>27</v>
      </c>
      <c r="D63" s="7" t="s">
        <v>28</v>
      </c>
      <c r="E63" s="7" t="n">
        <v>6</v>
      </c>
      <c r="F63" s="8" t="n">
        <v>24500</v>
      </c>
      <c r="G63" s="8" t="n">
        <v>147000</v>
      </c>
    </row>
    <row r="64" customFormat="false" ht="15" hidden="false" customHeight="false" outlineLevel="0" collapsed="false">
      <c r="A64" s="18" t="n">
        <v>46158</v>
      </c>
      <c r="B64" s="11" t="s">
        <v>39</v>
      </c>
      <c r="C64" s="11" t="s">
        <v>31</v>
      </c>
      <c r="D64" s="11" t="s">
        <v>24</v>
      </c>
      <c r="E64" s="11" t="n">
        <v>1</v>
      </c>
      <c r="F64" s="12" t="n">
        <v>6200</v>
      </c>
      <c r="G64" s="12" t="n">
        <v>6200</v>
      </c>
    </row>
    <row r="65" customFormat="false" ht="15" hidden="false" customHeight="false" outlineLevel="0" collapsed="false">
      <c r="A65" s="19" t="n">
        <v>46158</v>
      </c>
      <c r="B65" s="7" t="s">
        <v>40</v>
      </c>
      <c r="C65" s="7" t="s">
        <v>29</v>
      </c>
      <c r="D65" s="7" t="s">
        <v>26</v>
      </c>
      <c r="E65" s="7" t="n">
        <v>2</v>
      </c>
      <c r="F65" s="8" t="n">
        <v>1180</v>
      </c>
      <c r="G65" s="8" t="n">
        <v>2360</v>
      </c>
    </row>
    <row r="66" customFormat="false" ht="15" hidden="false" customHeight="false" outlineLevel="0" collapsed="false">
      <c r="A66" s="18" t="n">
        <v>46159</v>
      </c>
      <c r="B66" s="11" t="s">
        <v>40</v>
      </c>
      <c r="C66" s="11" t="s">
        <v>25</v>
      </c>
      <c r="D66" s="11" t="s">
        <v>28</v>
      </c>
      <c r="E66" s="11" t="n">
        <v>6</v>
      </c>
      <c r="F66" s="12" t="n">
        <v>1180</v>
      </c>
      <c r="G66" s="12" t="n">
        <v>7080</v>
      </c>
    </row>
    <row r="67" customFormat="false" ht="15" hidden="false" customHeight="false" outlineLevel="0" collapsed="false">
      <c r="A67" s="19" t="n">
        <v>46159</v>
      </c>
      <c r="B67" s="7" t="s">
        <v>42</v>
      </c>
      <c r="C67" s="7" t="s">
        <v>23</v>
      </c>
      <c r="D67" s="7" t="s">
        <v>28</v>
      </c>
      <c r="E67" s="7" t="n">
        <v>5</v>
      </c>
      <c r="F67" s="8" t="n">
        <v>620</v>
      </c>
      <c r="G67" s="8" t="n">
        <v>3100</v>
      </c>
    </row>
    <row r="68" customFormat="false" ht="15" hidden="false" customHeight="false" outlineLevel="0" collapsed="false">
      <c r="A68" s="18" t="n">
        <v>46160</v>
      </c>
      <c r="B68" s="11" t="s">
        <v>41</v>
      </c>
      <c r="C68" s="11" t="s">
        <v>25</v>
      </c>
      <c r="D68" s="11" t="s">
        <v>26</v>
      </c>
      <c r="E68" s="11" t="n">
        <v>2</v>
      </c>
      <c r="F68" s="12" t="n">
        <v>1450</v>
      </c>
      <c r="G68" s="12" t="n">
        <v>2900</v>
      </c>
    </row>
    <row r="69" customFormat="false" ht="15" hidden="false" customHeight="false" outlineLevel="0" collapsed="false">
      <c r="A69" s="19" t="n">
        <v>46160</v>
      </c>
      <c r="B69" s="7" t="s">
        <v>42</v>
      </c>
      <c r="C69" s="7" t="s">
        <v>23</v>
      </c>
      <c r="D69" s="7" t="s">
        <v>26</v>
      </c>
      <c r="E69" s="7" t="n">
        <v>1</v>
      </c>
      <c r="F69" s="8" t="n">
        <v>620</v>
      </c>
      <c r="G69" s="8" t="n">
        <v>620</v>
      </c>
    </row>
    <row r="70" customFormat="false" ht="15" hidden="false" customHeight="false" outlineLevel="0" collapsed="false">
      <c r="A70" s="18" t="n">
        <v>46160</v>
      </c>
      <c r="B70" s="11" t="s">
        <v>39</v>
      </c>
      <c r="C70" s="11" t="s">
        <v>25</v>
      </c>
      <c r="D70" s="11" t="s">
        <v>28</v>
      </c>
      <c r="E70" s="11" t="n">
        <v>1</v>
      </c>
      <c r="F70" s="12" t="n">
        <v>6200</v>
      </c>
      <c r="G70" s="12" t="n">
        <v>6200</v>
      </c>
    </row>
    <row r="71" customFormat="false" ht="15" hidden="false" customHeight="false" outlineLevel="0" collapsed="false">
      <c r="A71" s="19" t="n">
        <v>46160</v>
      </c>
      <c r="B71" s="7" t="s">
        <v>41</v>
      </c>
      <c r="C71" s="7" t="s">
        <v>31</v>
      </c>
      <c r="D71" s="7" t="s">
        <v>26</v>
      </c>
      <c r="E71" s="7" t="n">
        <v>1</v>
      </c>
      <c r="F71" s="8" t="n">
        <v>1450</v>
      </c>
      <c r="G71" s="8" t="n">
        <v>1450</v>
      </c>
    </row>
    <row r="72" customFormat="false" ht="15" hidden="false" customHeight="false" outlineLevel="0" collapsed="false">
      <c r="A72" s="18" t="n">
        <v>46160</v>
      </c>
      <c r="B72" s="11" t="s">
        <v>40</v>
      </c>
      <c r="C72" s="11" t="s">
        <v>27</v>
      </c>
      <c r="D72" s="11" t="s">
        <v>24</v>
      </c>
      <c r="E72" s="11" t="n">
        <v>2</v>
      </c>
      <c r="F72" s="12" t="n">
        <v>1180</v>
      </c>
      <c r="G72" s="12" t="n">
        <v>2360</v>
      </c>
    </row>
    <row r="73" customFormat="false" ht="15" hidden="false" customHeight="false" outlineLevel="0" collapsed="false">
      <c r="A73" s="19" t="n">
        <v>46161</v>
      </c>
      <c r="B73" s="7" t="s">
        <v>43</v>
      </c>
      <c r="C73" s="7" t="s">
        <v>30</v>
      </c>
      <c r="D73" s="7" t="s">
        <v>24</v>
      </c>
      <c r="E73" s="7" t="n">
        <v>1</v>
      </c>
      <c r="F73" s="8" t="n">
        <v>24500</v>
      </c>
      <c r="G73" s="8" t="n">
        <v>24500</v>
      </c>
    </row>
    <row r="74" customFormat="false" ht="15" hidden="false" customHeight="false" outlineLevel="0" collapsed="false">
      <c r="A74" s="18" t="n">
        <v>46161</v>
      </c>
      <c r="B74" s="11" t="s">
        <v>43</v>
      </c>
      <c r="C74" s="11" t="s">
        <v>25</v>
      </c>
      <c r="D74" s="11" t="s">
        <v>24</v>
      </c>
      <c r="E74" s="11" t="n">
        <v>6</v>
      </c>
      <c r="F74" s="12" t="n">
        <v>24500</v>
      </c>
      <c r="G74" s="12" t="n">
        <v>147000</v>
      </c>
    </row>
    <row r="75" customFormat="false" ht="15" hidden="false" customHeight="false" outlineLevel="0" collapsed="false">
      <c r="A75" s="19" t="n">
        <v>46161</v>
      </c>
      <c r="B75" s="7" t="s">
        <v>41</v>
      </c>
      <c r="C75" s="7" t="s">
        <v>23</v>
      </c>
      <c r="D75" s="7" t="s">
        <v>28</v>
      </c>
      <c r="E75" s="7" t="n">
        <v>5</v>
      </c>
      <c r="F75" s="8" t="n">
        <v>1450</v>
      </c>
      <c r="G75" s="8" t="n">
        <v>7250</v>
      </c>
    </row>
    <row r="76" customFormat="false" ht="15" hidden="false" customHeight="false" outlineLevel="0" collapsed="false">
      <c r="A76" s="18" t="n">
        <v>46161</v>
      </c>
      <c r="B76" s="11" t="s">
        <v>40</v>
      </c>
      <c r="C76" s="11" t="s">
        <v>23</v>
      </c>
      <c r="D76" s="11" t="s">
        <v>24</v>
      </c>
      <c r="E76" s="11" t="n">
        <v>4</v>
      </c>
      <c r="F76" s="12" t="n">
        <v>1180</v>
      </c>
      <c r="G76" s="12" t="n">
        <v>4720</v>
      </c>
    </row>
    <row r="77" customFormat="false" ht="15" hidden="false" customHeight="false" outlineLevel="0" collapsed="false">
      <c r="A77" s="19" t="n">
        <v>46161</v>
      </c>
      <c r="B77" s="7" t="s">
        <v>43</v>
      </c>
      <c r="C77" s="7" t="s">
        <v>30</v>
      </c>
      <c r="D77" s="7" t="s">
        <v>24</v>
      </c>
      <c r="E77" s="7" t="n">
        <v>5</v>
      </c>
      <c r="F77" s="8" t="n">
        <v>24500</v>
      </c>
      <c r="G77" s="8" t="n">
        <v>122500</v>
      </c>
    </row>
    <row r="78" customFormat="false" ht="15" hidden="false" customHeight="false" outlineLevel="0" collapsed="false">
      <c r="A78" s="18" t="n">
        <v>46161</v>
      </c>
      <c r="B78" s="11" t="s">
        <v>43</v>
      </c>
      <c r="C78" s="11" t="s">
        <v>29</v>
      </c>
      <c r="D78" s="11" t="s">
        <v>24</v>
      </c>
      <c r="E78" s="11" t="n">
        <v>1</v>
      </c>
      <c r="F78" s="12" t="n">
        <v>24500</v>
      </c>
      <c r="G78" s="12" t="n">
        <v>24500</v>
      </c>
    </row>
    <row r="79" customFormat="false" ht="15" hidden="false" customHeight="false" outlineLevel="0" collapsed="false">
      <c r="A79" s="19" t="n">
        <v>46161</v>
      </c>
      <c r="B79" s="7" t="s">
        <v>41</v>
      </c>
      <c r="C79" s="7" t="s">
        <v>29</v>
      </c>
      <c r="D79" s="7" t="s">
        <v>24</v>
      </c>
      <c r="E79" s="7" t="n">
        <v>5</v>
      </c>
      <c r="F79" s="8" t="n">
        <v>1450</v>
      </c>
      <c r="G79" s="8" t="n">
        <v>7250</v>
      </c>
    </row>
    <row r="80" customFormat="false" ht="15" hidden="false" customHeight="false" outlineLevel="0" collapsed="false">
      <c r="A80" s="18" t="n">
        <v>46161</v>
      </c>
      <c r="B80" s="11" t="s">
        <v>42</v>
      </c>
      <c r="C80" s="11" t="s">
        <v>30</v>
      </c>
      <c r="D80" s="11" t="s">
        <v>24</v>
      </c>
      <c r="E80" s="11" t="n">
        <v>3</v>
      </c>
      <c r="F80" s="12" t="n">
        <v>620</v>
      </c>
      <c r="G80" s="12" t="n">
        <v>1860</v>
      </c>
    </row>
    <row r="81" customFormat="false" ht="15" hidden="false" customHeight="false" outlineLevel="0" collapsed="false">
      <c r="A81" s="19" t="n">
        <v>46161</v>
      </c>
      <c r="B81" s="7" t="s">
        <v>40</v>
      </c>
      <c r="C81" s="7" t="s">
        <v>29</v>
      </c>
      <c r="D81" s="7" t="s">
        <v>28</v>
      </c>
      <c r="E81" s="7" t="n">
        <v>5</v>
      </c>
      <c r="F81" s="8" t="n">
        <v>1180</v>
      </c>
      <c r="G81" s="8" t="n">
        <v>5900</v>
      </c>
    </row>
    <row r="82" customFormat="false" ht="15" hidden="false" customHeight="false" outlineLevel="0" collapsed="false">
      <c r="A82" s="18" t="n">
        <v>46162</v>
      </c>
      <c r="B82" s="11" t="s">
        <v>42</v>
      </c>
      <c r="C82" s="11" t="s">
        <v>29</v>
      </c>
      <c r="D82" s="11" t="s">
        <v>26</v>
      </c>
      <c r="E82" s="11" t="n">
        <v>5</v>
      </c>
      <c r="F82" s="12" t="n">
        <v>620</v>
      </c>
      <c r="G82" s="12" t="n">
        <v>3100</v>
      </c>
    </row>
    <row r="83" customFormat="false" ht="15" hidden="false" customHeight="false" outlineLevel="0" collapsed="false">
      <c r="A83" s="19" t="n">
        <v>46162</v>
      </c>
      <c r="B83" s="7" t="s">
        <v>39</v>
      </c>
      <c r="C83" s="7" t="s">
        <v>31</v>
      </c>
      <c r="D83" s="7" t="s">
        <v>26</v>
      </c>
      <c r="E83" s="7" t="n">
        <v>6</v>
      </c>
      <c r="F83" s="8" t="n">
        <v>6200</v>
      </c>
      <c r="G83" s="8" t="n">
        <v>37200</v>
      </c>
    </row>
    <row r="84" customFormat="false" ht="15" hidden="false" customHeight="false" outlineLevel="0" collapsed="false">
      <c r="A84" s="18" t="n">
        <v>46163</v>
      </c>
      <c r="B84" s="11" t="s">
        <v>42</v>
      </c>
      <c r="C84" s="11" t="s">
        <v>23</v>
      </c>
      <c r="D84" s="11" t="s">
        <v>28</v>
      </c>
      <c r="E84" s="11" t="n">
        <v>5</v>
      </c>
      <c r="F84" s="12" t="n">
        <v>620</v>
      </c>
      <c r="G84" s="12" t="n">
        <v>3100</v>
      </c>
    </row>
    <row r="85" customFormat="false" ht="15" hidden="false" customHeight="false" outlineLevel="0" collapsed="false">
      <c r="A85" s="19" t="n">
        <v>46163</v>
      </c>
      <c r="B85" s="7" t="s">
        <v>43</v>
      </c>
      <c r="C85" s="7" t="s">
        <v>27</v>
      </c>
      <c r="D85" s="7" t="s">
        <v>24</v>
      </c>
      <c r="E85" s="7" t="n">
        <v>1</v>
      </c>
      <c r="F85" s="8" t="n">
        <v>24500</v>
      </c>
      <c r="G85" s="8" t="n">
        <v>24500</v>
      </c>
    </row>
    <row r="86" customFormat="false" ht="15" hidden="false" customHeight="false" outlineLevel="0" collapsed="false">
      <c r="A86" s="18" t="n">
        <v>46164</v>
      </c>
      <c r="B86" s="11" t="s">
        <v>40</v>
      </c>
      <c r="C86" s="11" t="s">
        <v>30</v>
      </c>
      <c r="D86" s="11" t="s">
        <v>26</v>
      </c>
      <c r="E86" s="11" t="n">
        <v>6</v>
      </c>
      <c r="F86" s="12" t="n">
        <v>1180</v>
      </c>
      <c r="G86" s="12" t="n">
        <v>7080</v>
      </c>
    </row>
    <row r="87" customFormat="false" ht="15" hidden="false" customHeight="false" outlineLevel="0" collapsed="false">
      <c r="A87" s="19" t="n">
        <v>46164</v>
      </c>
      <c r="B87" s="7" t="s">
        <v>43</v>
      </c>
      <c r="C87" s="7" t="s">
        <v>29</v>
      </c>
      <c r="D87" s="7" t="s">
        <v>24</v>
      </c>
      <c r="E87" s="7" t="n">
        <v>4</v>
      </c>
      <c r="F87" s="8" t="n">
        <v>24500</v>
      </c>
      <c r="G87" s="8" t="n">
        <v>98000</v>
      </c>
    </row>
    <row r="88" customFormat="false" ht="15" hidden="false" customHeight="false" outlineLevel="0" collapsed="false">
      <c r="A88" s="18" t="n">
        <v>46164</v>
      </c>
      <c r="B88" s="11" t="s">
        <v>39</v>
      </c>
      <c r="C88" s="11" t="s">
        <v>23</v>
      </c>
      <c r="D88" s="11" t="s">
        <v>24</v>
      </c>
      <c r="E88" s="11" t="n">
        <v>6</v>
      </c>
      <c r="F88" s="12" t="n">
        <v>6200</v>
      </c>
      <c r="G88" s="12" t="n">
        <v>37200</v>
      </c>
    </row>
    <row r="89" customFormat="false" ht="15" hidden="false" customHeight="false" outlineLevel="0" collapsed="false">
      <c r="A89" s="19" t="n">
        <v>46164</v>
      </c>
      <c r="B89" s="7" t="s">
        <v>39</v>
      </c>
      <c r="C89" s="7" t="s">
        <v>25</v>
      </c>
      <c r="D89" s="7" t="s">
        <v>24</v>
      </c>
      <c r="E89" s="7" t="n">
        <v>3</v>
      </c>
      <c r="F89" s="8" t="n">
        <v>6200</v>
      </c>
      <c r="G89" s="8" t="n">
        <v>18600</v>
      </c>
    </row>
    <row r="90" customFormat="false" ht="15" hidden="false" customHeight="false" outlineLevel="0" collapsed="false">
      <c r="A90" s="18" t="n">
        <v>46164</v>
      </c>
      <c r="B90" s="11" t="s">
        <v>43</v>
      </c>
      <c r="C90" s="11" t="s">
        <v>27</v>
      </c>
      <c r="D90" s="11" t="s">
        <v>28</v>
      </c>
      <c r="E90" s="11" t="n">
        <v>5</v>
      </c>
      <c r="F90" s="12" t="n">
        <v>24500</v>
      </c>
      <c r="G90" s="12" t="n">
        <v>122500</v>
      </c>
    </row>
    <row r="91" customFormat="false" ht="15" hidden="false" customHeight="false" outlineLevel="0" collapsed="false">
      <c r="A91" s="19" t="n">
        <v>46164</v>
      </c>
      <c r="B91" s="7" t="s">
        <v>41</v>
      </c>
      <c r="C91" s="7" t="s">
        <v>27</v>
      </c>
      <c r="D91" s="7" t="s">
        <v>26</v>
      </c>
      <c r="E91" s="7" t="n">
        <v>5</v>
      </c>
      <c r="F91" s="8" t="n">
        <v>1450</v>
      </c>
      <c r="G91" s="8" t="n">
        <v>7250</v>
      </c>
    </row>
    <row r="92" customFormat="false" ht="15" hidden="false" customHeight="false" outlineLevel="0" collapsed="false">
      <c r="A92" s="18" t="n">
        <v>46165</v>
      </c>
      <c r="B92" s="11" t="s">
        <v>42</v>
      </c>
      <c r="C92" s="11" t="s">
        <v>27</v>
      </c>
      <c r="D92" s="11" t="s">
        <v>26</v>
      </c>
      <c r="E92" s="11" t="n">
        <v>4</v>
      </c>
      <c r="F92" s="12" t="n">
        <v>620</v>
      </c>
      <c r="G92" s="12" t="n">
        <v>2480</v>
      </c>
    </row>
    <row r="93" customFormat="false" ht="15" hidden="false" customHeight="false" outlineLevel="0" collapsed="false">
      <c r="A93" s="19" t="n">
        <v>46165</v>
      </c>
      <c r="B93" s="7" t="s">
        <v>40</v>
      </c>
      <c r="C93" s="7" t="s">
        <v>23</v>
      </c>
      <c r="D93" s="7" t="s">
        <v>28</v>
      </c>
      <c r="E93" s="7" t="n">
        <v>6</v>
      </c>
      <c r="F93" s="8" t="n">
        <v>1180</v>
      </c>
      <c r="G93" s="8" t="n">
        <v>7080</v>
      </c>
    </row>
    <row r="94" customFormat="false" ht="15" hidden="false" customHeight="false" outlineLevel="0" collapsed="false">
      <c r="A94" s="18" t="n">
        <v>46165</v>
      </c>
      <c r="B94" s="11" t="s">
        <v>39</v>
      </c>
      <c r="C94" s="11" t="s">
        <v>23</v>
      </c>
      <c r="D94" s="11" t="s">
        <v>26</v>
      </c>
      <c r="E94" s="11" t="n">
        <v>2</v>
      </c>
      <c r="F94" s="12" t="n">
        <v>6200</v>
      </c>
      <c r="G94" s="12" t="n">
        <v>12400</v>
      </c>
    </row>
    <row r="95" customFormat="false" ht="15" hidden="false" customHeight="false" outlineLevel="0" collapsed="false">
      <c r="A95" s="19" t="n">
        <v>46165</v>
      </c>
      <c r="B95" s="7" t="s">
        <v>40</v>
      </c>
      <c r="C95" s="7" t="s">
        <v>23</v>
      </c>
      <c r="D95" s="7" t="s">
        <v>28</v>
      </c>
      <c r="E95" s="7" t="n">
        <v>4</v>
      </c>
      <c r="F95" s="8" t="n">
        <v>1180</v>
      </c>
      <c r="G95" s="8" t="n">
        <v>4720</v>
      </c>
    </row>
    <row r="96" customFormat="false" ht="15" hidden="false" customHeight="false" outlineLevel="0" collapsed="false">
      <c r="A96" s="18" t="n">
        <v>46165</v>
      </c>
      <c r="B96" s="11" t="s">
        <v>40</v>
      </c>
      <c r="C96" s="11" t="s">
        <v>27</v>
      </c>
      <c r="D96" s="11" t="s">
        <v>26</v>
      </c>
      <c r="E96" s="11" t="n">
        <v>1</v>
      </c>
      <c r="F96" s="12" t="n">
        <v>1180</v>
      </c>
      <c r="G96" s="12" t="n">
        <v>1180</v>
      </c>
    </row>
    <row r="97" customFormat="false" ht="15" hidden="false" customHeight="false" outlineLevel="0" collapsed="false">
      <c r="A97" s="19" t="n">
        <v>46165</v>
      </c>
      <c r="B97" s="7" t="s">
        <v>43</v>
      </c>
      <c r="C97" s="7" t="s">
        <v>29</v>
      </c>
      <c r="D97" s="7" t="s">
        <v>28</v>
      </c>
      <c r="E97" s="7" t="n">
        <v>2</v>
      </c>
      <c r="F97" s="8" t="n">
        <v>24500</v>
      </c>
      <c r="G97" s="8" t="n">
        <v>49000</v>
      </c>
    </row>
    <row r="98" customFormat="false" ht="15" hidden="false" customHeight="false" outlineLevel="0" collapsed="false">
      <c r="A98" s="18" t="n">
        <v>46166</v>
      </c>
      <c r="B98" s="11" t="s">
        <v>40</v>
      </c>
      <c r="C98" s="11" t="s">
        <v>25</v>
      </c>
      <c r="D98" s="11" t="s">
        <v>26</v>
      </c>
      <c r="E98" s="11" t="n">
        <v>3</v>
      </c>
      <c r="F98" s="12" t="n">
        <v>1180</v>
      </c>
      <c r="G98" s="12" t="n">
        <v>3540</v>
      </c>
    </row>
    <row r="99" customFormat="false" ht="15" hidden="false" customHeight="false" outlineLevel="0" collapsed="false">
      <c r="A99" s="19" t="n">
        <v>46166</v>
      </c>
      <c r="B99" s="7" t="s">
        <v>41</v>
      </c>
      <c r="C99" s="7" t="s">
        <v>23</v>
      </c>
      <c r="D99" s="7" t="s">
        <v>28</v>
      </c>
      <c r="E99" s="7" t="n">
        <v>3</v>
      </c>
      <c r="F99" s="8" t="n">
        <v>1450</v>
      </c>
      <c r="G99" s="8" t="n">
        <v>4350</v>
      </c>
    </row>
    <row r="100" customFormat="false" ht="15" hidden="false" customHeight="false" outlineLevel="0" collapsed="false">
      <c r="A100" s="18" t="n">
        <v>46166</v>
      </c>
      <c r="B100" s="11" t="s">
        <v>41</v>
      </c>
      <c r="C100" s="11" t="s">
        <v>25</v>
      </c>
      <c r="D100" s="11" t="s">
        <v>24</v>
      </c>
      <c r="E100" s="11" t="n">
        <v>2</v>
      </c>
      <c r="F100" s="12" t="n">
        <v>1450</v>
      </c>
      <c r="G100" s="12" t="n">
        <v>2900</v>
      </c>
    </row>
    <row r="101" customFormat="false" ht="15" hidden="false" customHeight="false" outlineLevel="0" collapsed="false">
      <c r="A101" s="19" t="n">
        <v>46167</v>
      </c>
      <c r="B101" s="7" t="s">
        <v>40</v>
      </c>
      <c r="C101" s="7" t="s">
        <v>30</v>
      </c>
      <c r="D101" s="7" t="s">
        <v>26</v>
      </c>
      <c r="E101" s="7" t="n">
        <v>1</v>
      </c>
      <c r="F101" s="8" t="n">
        <v>1180</v>
      </c>
      <c r="G101" s="8" t="n">
        <v>1180</v>
      </c>
    </row>
    <row r="102" customFormat="false" ht="15" hidden="false" customHeight="false" outlineLevel="0" collapsed="false">
      <c r="A102" s="18" t="n">
        <v>46167</v>
      </c>
      <c r="B102" s="11" t="s">
        <v>41</v>
      </c>
      <c r="C102" s="11" t="s">
        <v>25</v>
      </c>
      <c r="D102" s="11" t="s">
        <v>28</v>
      </c>
      <c r="E102" s="11" t="n">
        <v>2</v>
      </c>
      <c r="F102" s="12" t="n">
        <v>1450</v>
      </c>
      <c r="G102" s="12" t="n">
        <v>2900</v>
      </c>
    </row>
    <row r="103" customFormat="false" ht="15" hidden="false" customHeight="false" outlineLevel="0" collapsed="false">
      <c r="A103" s="19" t="n">
        <v>46167</v>
      </c>
      <c r="B103" s="7" t="s">
        <v>41</v>
      </c>
      <c r="C103" s="7" t="s">
        <v>23</v>
      </c>
      <c r="D103" s="7" t="s">
        <v>24</v>
      </c>
      <c r="E103" s="7" t="n">
        <v>4</v>
      </c>
      <c r="F103" s="8" t="n">
        <v>1450</v>
      </c>
      <c r="G103" s="8" t="n">
        <v>5800</v>
      </c>
    </row>
    <row r="104" customFormat="false" ht="15" hidden="false" customHeight="false" outlineLevel="0" collapsed="false">
      <c r="A104" s="18" t="n">
        <v>46167</v>
      </c>
      <c r="B104" s="11" t="s">
        <v>43</v>
      </c>
      <c r="C104" s="11" t="s">
        <v>27</v>
      </c>
      <c r="D104" s="11" t="s">
        <v>26</v>
      </c>
      <c r="E104" s="11" t="n">
        <v>5</v>
      </c>
      <c r="F104" s="12" t="n">
        <v>24500</v>
      </c>
      <c r="G104" s="12" t="n">
        <v>122500</v>
      </c>
    </row>
    <row r="105" customFormat="false" ht="15" hidden="false" customHeight="false" outlineLevel="0" collapsed="false">
      <c r="A105" s="19" t="n">
        <v>46167</v>
      </c>
      <c r="B105" s="7" t="s">
        <v>40</v>
      </c>
      <c r="C105" s="7" t="s">
        <v>25</v>
      </c>
      <c r="D105" s="7" t="s">
        <v>28</v>
      </c>
      <c r="E105" s="7" t="n">
        <v>2</v>
      </c>
      <c r="F105" s="8" t="n">
        <v>1180</v>
      </c>
      <c r="G105" s="8" t="n">
        <v>2360</v>
      </c>
    </row>
    <row r="106" customFormat="false" ht="15" hidden="false" customHeight="false" outlineLevel="0" collapsed="false">
      <c r="A106" s="18" t="n">
        <v>46167</v>
      </c>
      <c r="B106" s="11" t="s">
        <v>39</v>
      </c>
      <c r="C106" s="11" t="s">
        <v>31</v>
      </c>
      <c r="D106" s="11" t="s">
        <v>24</v>
      </c>
      <c r="E106" s="11" t="n">
        <v>1</v>
      </c>
      <c r="F106" s="12" t="n">
        <v>6200</v>
      </c>
      <c r="G106" s="12" t="n">
        <v>6200</v>
      </c>
    </row>
    <row r="107" customFormat="false" ht="15" hidden="false" customHeight="false" outlineLevel="0" collapsed="false">
      <c r="A107" s="19" t="n">
        <v>46168</v>
      </c>
      <c r="B107" s="7" t="s">
        <v>42</v>
      </c>
      <c r="C107" s="7" t="s">
        <v>23</v>
      </c>
      <c r="D107" s="7" t="s">
        <v>28</v>
      </c>
      <c r="E107" s="7" t="n">
        <v>4</v>
      </c>
      <c r="F107" s="8" t="n">
        <v>620</v>
      </c>
      <c r="G107" s="8" t="n">
        <v>2480</v>
      </c>
    </row>
    <row r="108" customFormat="false" ht="15" hidden="false" customHeight="false" outlineLevel="0" collapsed="false">
      <c r="A108" s="18" t="n">
        <v>46168</v>
      </c>
      <c r="B108" s="11" t="s">
        <v>42</v>
      </c>
      <c r="C108" s="11" t="s">
        <v>29</v>
      </c>
      <c r="D108" s="11" t="s">
        <v>28</v>
      </c>
      <c r="E108" s="11" t="n">
        <v>6</v>
      </c>
      <c r="F108" s="12" t="n">
        <v>620</v>
      </c>
      <c r="G108" s="12" t="n">
        <v>3720</v>
      </c>
    </row>
    <row r="109" customFormat="false" ht="15" hidden="false" customHeight="false" outlineLevel="0" collapsed="false">
      <c r="A109" s="19" t="n">
        <v>46169</v>
      </c>
      <c r="B109" s="7" t="s">
        <v>40</v>
      </c>
      <c r="C109" s="7" t="s">
        <v>27</v>
      </c>
      <c r="D109" s="7" t="s">
        <v>28</v>
      </c>
      <c r="E109" s="7" t="n">
        <v>1</v>
      </c>
      <c r="F109" s="8" t="n">
        <v>1180</v>
      </c>
      <c r="G109" s="8" t="n">
        <v>1180</v>
      </c>
    </row>
    <row r="110" customFormat="false" ht="15" hidden="false" customHeight="false" outlineLevel="0" collapsed="false">
      <c r="A110" s="18" t="n">
        <v>46169</v>
      </c>
      <c r="B110" s="11" t="s">
        <v>43</v>
      </c>
      <c r="C110" s="11" t="s">
        <v>25</v>
      </c>
      <c r="D110" s="11" t="s">
        <v>28</v>
      </c>
      <c r="E110" s="11" t="n">
        <v>4</v>
      </c>
      <c r="F110" s="12" t="n">
        <v>24500</v>
      </c>
      <c r="G110" s="12" t="n">
        <v>98000</v>
      </c>
    </row>
    <row r="111" customFormat="false" ht="15" hidden="false" customHeight="false" outlineLevel="0" collapsed="false">
      <c r="A111" s="19" t="n">
        <v>46169</v>
      </c>
      <c r="B111" s="7" t="s">
        <v>40</v>
      </c>
      <c r="C111" s="7" t="s">
        <v>31</v>
      </c>
      <c r="D111" s="7" t="s">
        <v>26</v>
      </c>
      <c r="E111" s="7" t="n">
        <v>1</v>
      </c>
      <c r="F111" s="8" t="n">
        <v>1180</v>
      </c>
      <c r="G111" s="8" t="n">
        <v>1180</v>
      </c>
    </row>
    <row r="112" customFormat="false" ht="15" hidden="false" customHeight="false" outlineLevel="0" collapsed="false">
      <c r="A112" s="18" t="n">
        <v>46170</v>
      </c>
      <c r="B112" s="11" t="s">
        <v>39</v>
      </c>
      <c r="C112" s="11" t="s">
        <v>30</v>
      </c>
      <c r="D112" s="11" t="s">
        <v>24</v>
      </c>
      <c r="E112" s="11" t="n">
        <v>1</v>
      </c>
      <c r="F112" s="12" t="n">
        <v>6200</v>
      </c>
      <c r="G112" s="12" t="n">
        <v>6200</v>
      </c>
    </row>
    <row r="113" customFormat="false" ht="15" hidden="false" customHeight="false" outlineLevel="0" collapsed="false">
      <c r="A113" s="19" t="n">
        <v>46170</v>
      </c>
      <c r="B113" s="7" t="s">
        <v>41</v>
      </c>
      <c r="C113" s="7" t="s">
        <v>29</v>
      </c>
      <c r="D113" s="7" t="s">
        <v>28</v>
      </c>
      <c r="E113" s="7" t="n">
        <v>6</v>
      </c>
      <c r="F113" s="8" t="n">
        <v>1450</v>
      </c>
      <c r="G113" s="8" t="n">
        <v>8700</v>
      </c>
    </row>
    <row r="114" customFormat="false" ht="15" hidden="false" customHeight="false" outlineLevel="0" collapsed="false">
      <c r="A114" s="18" t="n">
        <v>46171</v>
      </c>
      <c r="B114" s="11" t="s">
        <v>40</v>
      </c>
      <c r="C114" s="11" t="s">
        <v>30</v>
      </c>
      <c r="D114" s="11" t="s">
        <v>28</v>
      </c>
      <c r="E114" s="11" t="n">
        <v>1</v>
      </c>
      <c r="F114" s="12" t="n">
        <v>1180</v>
      </c>
      <c r="G114" s="12" t="n">
        <v>1180</v>
      </c>
    </row>
    <row r="115" customFormat="false" ht="15" hidden="false" customHeight="false" outlineLevel="0" collapsed="false">
      <c r="A115" s="19" t="n">
        <v>46171</v>
      </c>
      <c r="B115" s="7" t="s">
        <v>42</v>
      </c>
      <c r="C115" s="7" t="s">
        <v>30</v>
      </c>
      <c r="D115" s="7" t="s">
        <v>28</v>
      </c>
      <c r="E115" s="7" t="n">
        <v>3</v>
      </c>
      <c r="F115" s="8" t="n">
        <v>620</v>
      </c>
      <c r="G115" s="8" t="n">
        <v>1860</v>
      </c>
    </row>
    <row r="116" customFormat="false" ht="15" hidden="false" customHeight="false" outlineLevel="0" collapsed="false">
      <c r="A116" s="18" t="n">
        <v>46171</v>
      </c>
      <c r="B116" s="11" t="s">
        <v>40</v>
      </c>
      <c r="C116" s="11" t="s">
        <v>29</v>
      </c>
      <c r="D116" s="11" t="s">
        <v>26</v>
      </c>
      <c r="E116" s="11" t="n">
        <v>2</v>
      </c>
      <c r="F116" s="12" t="n">
        <v>1180</v>
      </c>
      <c r="G116" s="12" t="n">
        <v>2360</v>
      </c>
    </row>
    <row r="117" customFormat="false" ht="15" hidden="false" customHeight="false" outlineLevel="0" collapsed="false">
      <c r="A117" s="19" t="n">
        <v>46171</v>
      </c>
      <c r="B117" s="7" t="s">
        <v>41</v>
      </c>
      <c r="C117" s="7" t="s">
        <v>23</v>
      </c>
      <c r="D117" s="7" t="s">
        <v>24</v>
      </c>
      <c r="E117" s="7" t="n">
        <v>1</v>
      </c>
      <c r="F117" s="8" t="n">
        <v>1450</v>
      </c>
      <c r="G117" s="8" t="n">
        <v>1450</v>
      </c>
    </row>
    <row r="118" customFormat="false" ht="15" hidden="false" customHeight="false" outlineLevel="0" collapsed="false">
      <c r="A118" s="18" t="n">
        <v>46172</v>
      </c>
      <c r="B118" s="11" t="s">
        <v>42</v>
      </c>
      <c r="C118" s="11" t="s">
        <v>27</v>
      </c>
      <c r="D118" s="11" t="s">
        <v>28</v>
      </c>
      <c r="E118" s="11" t="n">
        <v>5</v>
      </c>
      <c r="F118" s="12" t="n">
        <v>620</v>
      </c>
      <c r="G118" s="12" t="n">
        <v>3100</v>
      </c>
    </row>
    <row r="119" customFormat="false" ht="15" hidden="false" customHeight="false" outlineLevel="0" collapsed="false">
      <c r="A119" s="19" t="n">
        <v>46172</v>
      </c>
      <c r="B119" s="7" t="s">
        <v>40</v>
      </c>
      <c r="C119" s="7" t="s">
        <v>29</v>
      </c>
      <c r="D119" s="7" t="s">
        <v>26</v>
      </c>
      <c r="E119" s="7" t="n">
        <v>3</v>
      </c>
      <c r="F119" s="8" t="n">
        <v>1180</v>
      </c>
      <c r="G119" s="8" t="n">
        <v>3540</v>
      </c>
    </row>
    <row r="120" customFormat="false" ht="15" hidden="false" customHeight="false" outlineLevel="0" collapsed="false">
      <c r="A120" s="18" t="n">
        <v>46173</v>
      </c>
      <c r="B120" s="11" t="s">
        <v>40</v>
      </c>
      <c r="C120" s="11" t="s">
        <v>27</v>
      </c>
      <c r="D120" s="11" t="s">
        <v>28</v>
      </c>
      <c r="E120" s="11" t="n">
        <v>5</v>
      </c>
      <c r="F120" s="12" t="n">
        <v>1180</v>
      </c>
      <c r="G120" s="12" t="n">
        <v>5900</v>
      </c>
    </row>
    <row r="121" customFormat="false" ht="15" hidden="false" customHeight="false" outlineLevel="0" collapsed="false">
      <c r="A121" s="19" t="n">
        <v>46173</v>
      </c>
      <c r="B121" s="7" t="s">
        <v>43</v>
      </c>
      <c r="C121" s="7" t="s">
        <v>29</v>
      </c>
      <c r="D121" s="7" t="s">
        <v>24</v>
      </c>
      <c r="E121" s="7" t="n">
        <v>3</v>
      </c>
      <c r="F121" s="8" t="n">
        <v>24500</v>
      </c>
      <c r="G121" s="8" t="n">
        <v>73500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7"/>
    <col collapsed="false" customWidth="true" hidden="false" outlineLevel="0" max="4" min="2" style="0" width="14"/>
    <col collapsed="false" customWidth="true" hidden="false" outlineLevel="0" max="5" min="5" style="0" width="13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17" t="s">
        <v>15</v>
      </c>
      <c r="B1" s="17" t="s">
        <v>35</v>
      </c>
      <c r="C1" s="17" t="s">
        <v>44</v>
      </c>
      <c r="D1" s="17" t="s">
        <v>18</v>
      </c>
      <c r="E1" s="17" t="s">
        <v>19</v>
      </c>
      <c r="F1" s="17" t="s">
        <v>45</v>
      </c>
    </row>
    <row r="2" customFormat="false" ht="15" hidden="false" customHeight="false" outlineLevel="0" collapsed="false">
      <c r="A2" s="11" t="s">
        <v>27</v>
      </c>
      <c r="B2" s="11" t="s">
        <v>28</v>
      </c>
      <c r="C2" s="12" t="n">
        <v>300000</v>
      </c>
      <c r="D2" s="12" t="n">
        <v>507115</v>
      </c>
      <c r="E2" s="12" t="n">
        <v>516740</v>
      </c>
      <c r="F2" s="20" t="n">
        <v>0.05</v>
      </c>
    </row>
    <row r="3" customFormat="false" ht="15" hidden="false" customHeight="false" outlineLevel="0" collapsed="false">
      <c r="A3" s="7" t="s">
        <v>23</v>
      </c>
      <c r="B3" s="7" t="s">
        <v>24</v>
      </c>
      <c r="C3" s="8" t="n">
        <v>250000</v>
      </c>
      <c r="D3" s="8" t="n">
        <v>759152</v>
      </c>
      <c r="E3" s="8" t="n">
        <v>711150</v>
      </c>
      <c r="F3" s="21" t="n">
        <v>0.03</v>
      </c>
    </row>
    <row r="4" customFormat="false" ht="15" hidden="false" customHeight="false" outlineLevel="0" collapsed="false">
      <c r="A4" s="11" t="s">
        <v>31</v>
      </c>
      <c r="B4" s="11" t="s">
        <v>26</v>
      </c>
      <c r="C4" s="12" t="n">
        <v>280000</v>
      </c>
      <c r="D4" s="12" t="n">
        <v>243300</v>
      </c>
      <c r="E4" s="12" t="n">
        <v>242980</v>
      </c>
      <c r="F4" s="20" t="n">
        <v>0.045</v>
      </c>
    </row>
    <row r="5" customFormat="false" ht="15" hidden="false" customHeight="false" outlineLevel="0" collapsed="false">
      <c r="A5" s="7" t="s">
        <v>29</v>
      </c>
      <c r="B5" s="7" t="s">
        <v>28</v>
      </c>
      <c r="C5" s="8" t="n">
        <v>220000</v>
      </c>
      <c r="D5" s="8" t="n">
        <v>776683</v>
      </c>
      <c r="E5" s="8" t="n">
        <v>466010</v>
      </c>
      <c r="F5" s="21" t="n">
        <v>0.025</v>
      </c>
    </row>
    <row r="6" customFormat="false" ht="15" hidden="false" customHeight="false" outlineLevel="0" collapsed="false">
      <c r="A6" s="11" t="s">
        <v>30</v>
      </c>
      <c r="B6" s="11" t="s">
        <v>24</v>
      </c>
      <c r="C6" s="12" t="n">
        <v>260000</v>
      </c>
      <c r="D6" s="12" t="n">
        <v>232885</v>
      </c>
      <c r="E6" s="12" t="n">
        <v>384260</v>
      </c>
      <c r="F6" s="20" t="n">
        <v>0.035</v>
      </c>
    </row>
    <row r="7" customFormat="false" ht="15" hidden="false" customHeight="false" outlineLevel="0" collapsed="false">
      <c r="A7" s="7" t="s">
        <v>25</v>
      </c>
      <c r="B7" s="7" t="s">
        <v>26</v>
      </c>
      <c r="C7" s="8" t="n">
        <v>200000</v>
      </c>
      <c r="D7" s="8" t="n">
        <v>564755</v>
      </c>
      <c r="E7" s="8" t="n">
        <v>532440</v>
      </c>
      <c r="F7" s="21" t="n">
        <v>0.06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"/>
    <col collapsed="false" customWidth="true" hidden="false" outlineLevel="0" max="3" min="3" style="0" width="15"/>
    <col collapsed="false" customWidth="true" hidden="false" outlineLevel="0" max="4" min="4" style="0" width="19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14"/>
  </cols>
  <sheetData>
    <row r="1" customFormat="false" ht="15" hidden="false" customHeight="false" outlineLevel="0" collapsed="false">
      <c r="A1" s="17" t="s">
        <v>46</v>
      </c>
      <c r="B1" s="17" t="s">
        <v>47</v>
      </c>
      <c r="C1" s="17" t="s">
        <v>48</v>
      </c>
      <c r="D1" s="17" t="s">
        <v>49</v>
      </c>
      <c r="E1" s="17" t="s">
        <v>50</v>
      </c>
      <c r="F1" s="17" t="s">
        <v>51</v>
      </c>
      <c r="G1" s="17" t="s">
        <v>52</v>
      </c>
    </row>
    <row r="2" customFormat="false" ht="15" hidden="false" customHeight="false" outlineLevel="0" collapsed="false">
      <c r="A2" s="11" t="s">
        <v>53</v>
      </c>
      <c r="B2" s="11" t="s">
        <v>54</v>
      </c>
      <c r="C2" s="18" t="n">
        <v>46094</v>
      </c>
      <c r="D2" s="18" t="n">
        <v>46109</v>
      </c>
      <c r="E2" s="12" t="n">
        <v>15200</v>
      </c>
      <c r="F2" s="11" t="s">
        <v>55</v>
      </c>
      <c r="G2" s="11" t="n">
        <v>0</v>
      </c>
    </row>
    <row r="3" customFormat="false" ht="15" hidden="false" customHeight="false" outlineLevel="0" collapsed="false">
      <c r="A3" s="7" t="s">
        <v>53</v>
      </c>
      <c r="B3" s="7" t="s">
        <v>56</v>
      </c>
      <c r="C3" s="19" t="n">
        <v>46144</v>
      </c>
      <c r="D3" s="19" t="n">
        <v>46174</v>
      </c>
      <c r="E3" s="8" t="n">
        <v>73500</v>
      </c>
      <c r="F3" s="7" t="s">
        <v>55</v>
      </c>
      <c r="G3" s="7" t="n">
        <v>0</v>
      </c>
    </row>
    <row r="4" customFormat="false" ht="15" hidden="false" customHeight="false" outlineLevel="0" collapsed="false">
      <c r="A4" s="11" t="s">
        <v>53</v>
      </c>
      <c r="B4" s="11" t="s">
        <v>57</v>
      </c>
      <c r="C4" s="18" t="n">
        <v>46099</v>
      </c>
      <c r="D4" s="18" t="n">
        <v>46114</v>
      </c>
      <c r="E4" s="12" t="n">
        <v>33400</v>
      </c>
      <c r="F4" s="11" t="s">
        <v>55</v>
      </c>
      <c r="G4" s="11" t="n">
        <v>0</v>
      </c>
    </row>
    <row r="5" customFormat="false" ht="15" hidden="false" customHeight="false" outlineLevel="0" collapsed="false">
      <c r="A5" s="7" t="s">
        <v>58</v>
      </c>
      <c r="B5" s="7" t="s">
        <v>59</v>
      </c>
      <c r="C5" s="19" t="n">
        <v>46123</v>
      </c>
      <c r="D5" s="19" t="n">
        <v>46153</v>
      </c>
      <c r="E5" s="8" t="n">
        <v>5600</v>
      </c>
      <c r="F5" s="7" t="s">
        <v>55</v>
      </c>
      <c r="G5" s="7" t="n">
        <v>0</v>
      </c>
    </row>
    <row r="6" customFormat="false" ht="15" hidden="false" customHeight="false" outlineLevel="0" collapsed="false">
      <c r="A6" s="11" t="s">
        <v>60</v>
      </c>
      <c r="B6" s="11" t="s">
        <v>61</v>
      </c>
      <c r="C6" s="18" t="n">
        <v>46090</v>
      </c>
      <c r="D6" s="18" t="n">
        <v>46120</v>
      </c>
      <c r="E6" s="12" t="n">
        <v>15200</v>
      </c>
      <c r="F6" s="11" t="s">
        <v>55</v>
      </c>
      <c r="G6" s="11" t="n">
        <v>0</v>
      </c>
    </row>
    <row r="7" customFormat="false" ht="15" hidden="false" customHeight="false" outlineLevel="0" collapsed="false">
      <c r="A7" s="7" t="s">
        <v>53</v>
      </c>
      <c r="B7" s="7" t="s">
        <v>62</v>
      </c>
      <c r="C7" s="19" t="n">
        <v>46101</v>
      </c>
      <c r="D7" s="19" t="n">
        <v>46116</v>
      </c>
      <c r="E7" s="8" t="n">
        <v>9800</v>
      </c>
      <c r="F7" s="7" t="s">
        <v>55</v>
      </c>
      <c r="G7" s="7" t="n">
        <v>0</v>
      </c>
    </row>
    <row r="8" customFormat="false" ht="15" hidden="false" customHeight="false" outlineLevel="0" collapsed="false">
      <c r="A8" s="11" t="s">
        <v>53</v>
      </c>
      <c r="B8" s="11" t="s">
        <v>63</v>
      </c>
      <c r="C8" s="18" t="n">
        <v>46155</v>
      </c>
      <c r="D8" s="18" t="n">
        <v>46185</v>
      </c>
      <c r="E8" s="12" t="n">
        <v>42000</v>
      </c>
      <c r="F8" s="11" t="s">
        <v>55</v>
      </c>
      <c r="G8" s="11" t="n">
        <v>0</v>
      </c>
    </row>
    <row r="9" customFormat="false" ht="15" hidden="false" customHeight="false" outlineLevel="0" collapsed="false">
      <c r="A9" s="7" t="s">
        <v>64</v>
      </c>
      <c r="B9" s="7" t="s">
        <v>65</v>
      </c>
      <c r="C9" s="19" t="n">
        <v>46083</v>
      </c>
      <c r="D9" s="19" t="n">
        <v>46113</v>
      </c>
      <c r="E9" s="8" t="n">
        <v>42000</v>
      </c>
      <c r="F9" s="7" t="s">
        <v>66</v>
      </c>
      <c r="G9" s="7" t="n">
        <v>100</v>
      </c>
    </row>
    <row r="10" customFormat="false" ht="15" hidden="false" customHeight="false" outlineLevel="0" collapsed="false">
      <c r="A10" s="11" t="s">
        <v>67</v>
      </c>
      <c r="B10" s="11" t="s">
        <v>68</v>
      </c>
      <c r="C10" s="18" t="n">
        <v>46099</v>
      </c>
      <c r="D10" s="18" t="n">
        <v>46114</v>
      </c>
      <c r="E10" s="12" t="n">
        <v>33400</v>
      </c>
      <c r="F10" s="11" t="s">
        <v>66</v>
      </c>
      <c r="G10" s="11" t="n">
        <v>99</v>
      </c>
    </row>
    <row r="11" customFormat="false" ht="15" hidden="false" customHeight="false" outlineLevel="0" collapsed="false">
      <c r="A11" s="7" t="s">
        <v>69</v>
      </c>
      <c r="B11" s="7" t="s">
        <v>70</v>
      </c>
      <c r="C11" s="19" t="n">
        <v>46097</v>
      </c>
      <c r="D11" s="19" t="n">
        <v>46117</v>
      </c>
      <c r="E11" s="8" t="n">
        <v>73500</v>
      </c>
      <c r="F11" s="7" t="s">
        <v>66</v>
      </c>
      <c r="G11" s="7" t="n">
        <v>96</v>
      </c>
    </row>
    <row r="12" customFormat="false" ht="15" hidden="false" customHeight="false" outlineLevel="0" collapsed="false">
      <c r="A12" s="11" t="s">
        <v>71</v>
      </c>
      <c r="B12" s="11" t="s">
        <v>72</v>
      </c>
      <c r="C12" s="18" t="n">
        <v>46087</v>
      </c>
      <c r="D12" s="18" t="n">
        <v>46117</v>
      </c>
      <c r="E12" s="12" t="n">
        <v>21000</v>
      </c>
      <c r="F12" s="11" t="s">
        <v>66</v>
      </c>
      <c r="G12" s="11" t="n">
        <v>96</v>
      </c>
    </row>
    <row r="13" customFormat="false" ht="15" hidden="false" customHeight="false" outlineLevel="0" collapsed="false">
      <c r="A13" s="7" t="s">
        <v>73</v>
      </c>
      <c r="B13" s="7" t="s">
        <v>74</v>
      </c>
      <c r="C13" s="19" t="n">
        <v>46089</v>
      </c>
      <c r="D13" s="19" t="n">
        <v>46119</v>
      </c>
      <c r="E13" s="8" t="n">
        <v>8500</v>
      </c>
      <c r="F13" s="7" t="s">
        <v>66</v>
      </c>
      <c r="G13" s="7" t="n">
        <v>94</v>
      </c>
    </row>
    <row r="14" customFormat="false" ht="15" hidden="false" customHeight="false" outlineLevel="0" collapsed="false">
      <c r="A14" s="11" t="s">
        <v>60</v>
      </c>
      <c r="B14" s="11" t="s">
        <v>75</v>
      </c>
      <c r="C14" s="18" t="n">
        <v>46126</v>
      </c>
      <c r="D14" s="18" t="n">
        <v>46132</v>
      </c>
      <c r="E14" s="12" t="n">
        <v>128000</v>
      </c>
      <c r="F14" s="11" t="s">
        <v>66</v>
      </c>
      <c r="G14" s="11" t="n">
        <v>81</v>
      </c>
    </row>
    <row r="15" customFormat="false" ht="15" hidden="false" customHeight="false" outlineLevel="0" collapsed="false">
      <c r="A15" s="7" t="s">
        <v>69</v>
      </c>
      <c r="B15" s="7" t="s">
        <v>76</v>
      </c>
      <c r="C15" s="19" t="n">
        <v>46090</v>
      </c>
      <c r="D15" s="19" t="n">
        <v>46135</v>
      </c>
      <c r="E15" s="8" t="n">
        <v>8500</v>
      </c>
      <c r="F15" s="7" t="s">
        <v>66</v>
      </c>
      <c r="G15" s="7" t="n">
        <v>78</v>
      </c>
    </row>
    <row r="16" customFormat="false" ht="15" hidden="false" customHeight="false" outlineLevel="0" collapsed="false">
      <c r="A16" s="11" t="s">
        <v>58</v>
      </c>
      <c r="B16" s="11" t="s">
        <v>77</v>
      </c>
      <c r="C16" s="18" t="n">
        <v>46114</v>
      </c>
      <c r="D16" s="18" t="n">
        <v>46144</v>
      </c>
      <c r="E16" s="12" t="n">
        <v>15200</v>
      </c>
      <c r="F16" s="11" t="s">
        <v>66</v>
      </c>
      <c r="G16" s="11" t="n">
        <v>69</v>
      </c>
    </row>
    <row r="17" customFormat="false" ht="15" hidden="false" customHeight="false" outlineLevel="0" collapsed="false">
      <c r="A17" s="7" t="s">
        <v>78</v>
      </c>
      <c r="B17" s="7" t="s">
        <v>79</v>
      </c>
      <c r="C17" s="19" t="n">
        <v>46117</v>
      </c>
      <c r="D17" s="19" t="n">
        <v>46147</v>
      </c>
      <c r="E17" s="8" t="n">
        <v>21000</v>
      </c>
      <c r="F17" s="7" t="s">
        <v>66</v>
      </c>
      <c r="G17" s="7" t="n">
        <v>66</v>
      </c>
    </row>
    <row r="18" customFormat="false" ht="15" hidden="false" customHeight="false" outlineLevel="0" collapsed="false">
      <c r="A18" s="11" t="s">
        <v>71</v>
      </c>
      <c r="B18" s="11" t="s">
        <v>80</v>
      </c>
      <c r="C18" s="18" t="n">
        <v>46114</v>
      </c>
      <c r="D18" s="18" t="n">
        <v>46152</v>
      </c>
      <c r="E18" s="12" t="n">
        <v>56000</v>
      </c>
      <c r="F18" s="11" t="s">
        <v>66</v>
      </c>
      <c r="G18" s="11" t="n">
        <v>61</v>
      </c>
    </row>
    <row r="19" customFormat="false" ht="15" hidden="false" customHeight="false" outlineLevel="0" collapsed="false">
      <c r="A19" s="7" t="s">
        <v>58</v>
      </c>
      <c r="B19" s="7" t="s">
        <v>81</v>
      </c>
      <c r="C19" s="19" t="n">
        <v>46148</v>
      </c>
      <c r="D19" s="19" t="n">
        <v>46163</v>
      </c>
      <c r="E19" s="8" t="n">
        <v>33400</v>
      </c>
      <c r="F19" s="7" t="s">
        <v>66</v>
      </c>
      <c r="G19" s="7" t="n">
        <v>50</v>
      </c>
    </row>
    <row r="20" customFormat="false" ht="15" hidden="false" customHeight="false" outlineLevel="0" collapsed="false">
      <c r="A20" s="11" t="s">
        <v>73</v>
      </c>
      <c r="B20" s="11" t="s">
        <v>82</v>
      </c>
      <c r="C20" s="18" t="n">
        <v>46140</v>
      </c>
      <c r="D20" s="18" t="n">
        <v>46170</v>
      </c>
      <c r="E20" s="12" t="n">
        <v>5600</v>
      </c>
      <c r="F20" s="11" t="s">
        <v>66</v>
      </c>
      <c r="G20" s="11" t="n">
        <v>43</v>
      </c>
    </row>
    <row r="21" customFormat="false" ht="15" hidden="false" customHeight="false" outlineLevel="0" collapsed="false">
      <c r="A21" s="7" t="s">
        <v>83</v>
      </c>
      <c r="B21" s="7" t="s">
        <v>84</v>
      </c>
      <c r="C21" s="19" t="n">
        <v>46161</v>
      </c>
      <c r="D21" s="19" t="n">
        <v>46176</v>
      </c>
      <c r="E21" s="8" t="n">
        <v>33400</v>
      </c>
      <c r="F21" s="7" t="s">
        <v>66</v>
      </c>
      <c r="G21" s="7" t="n">
        <v>37</v>
      </c>
    </row>
    <row r="22" customFormat="false" ht="15" hidden="false" customHeight="false" outlineLevel="0" collapsed="false">
      <c r="A22" s="11" t="s">
        <v>85</v>
      </c>
      <c r="B22" s="11" t="s">
        <v>86</v>
      </c>
      <c r="C22" s="18" t="n">
        <v>46134</v>
      </c>
      <c r="D22" s="18" t="n">
        <v>46179</v>
      </c>
      <c r="E22" s="12" t="n">
        <v>8500</v>
      </c>
      <c r="F22" s="11" t="s">
        <v>66</v>
      </c>
      <c r="G22" s="11" t="n">
        <v>34</v>
      </c>
    </row>
    <row r="23" customFormat="false" ht="15" hidden="false" customHeight="false" outlineLevel="0" collapsed="false">
      <c r="A23" s="7" t="s">
        <v>85</v>
      </c>
      <c r="B23" s="7" t="s">
        <v>87</v>
      </c>
      <c r="C23" s="19" t="n">
        <v>46152</v>
      </c>
      <c r="D23" s="19" t="n">
        <v>46182</v>
      </c>
      <c r="E23" s="8" t="n">
        <v>9800</v>
      </c>
      <c r="F23" s="7" t="s">
        <v>66</v>
      </c>
      <c r="G23" s="7" t="n">
        <v>31</v>
      </c>
    </row>
    <row r="24" customFormat="false" ht="15" hidden="false" customHeight="false" outlineLevel="0" collapsed="false">
      <c r="A24" s="11" t="s">
        <v>53</v>
      </c>
      <c r="B24" s="11" t="s">
        <v>88</v>
      </c>
      <c r="C24" s="18" t="n">
        <v>46154</v>
      </c>
      <c r="D24" s="18" t="n">
        <v>46184</v>
      </c>
      <c r="E24" s="12" t="n">
        <v>9800</v>
      </c>
      <c r="F24" s="11" t="s">
        <v>66</v>
      </c>
      <c r="G24" s="11" t="n">
        <v>29</v>
      </c>
    </row>
    <row r="25" customFormat="false" ht="15" hidden="false" customHeight="false" outlineLevel="0" collapsed="false">
      <c r="A25" s="7" t="s">
        <v>60</v>
      </c>
      <c r="B25" s="7" t="s">
        <v>89</v>
      </c>
      <c r="C25" s="19" t="n">
        <v>46156</v>
      </c>
      <c r="D25" s="19" t="n">
        <v>46186</v>
      </c>
      <c r="E25" s="8" t="n">
        <v>128000</v>
      </c>
      <c r="F25" s="7" t="s">
        <v>66</v>
      </c>
      <c r="G25" s="7" t="n">
        <v>27</v>
      </c>
    </row>
    <row r="26" customFormat="false" ht="15" hidden="false" customHeight="false" outlineLevel="0" collapsed="false">
      <c r="A26" s="11" t="s">
        <v>73</v>
      </c>
      <c r="B26" s="11" t="s">
        <v>90</v>
      </c>
      <c r="C26" s="18" t="n">
        <v>46167</v>
      </c>
      <c r="D26" s="18" t="n">
        <v>46197</v>
      </c>
      <c r="E26" s="12" t="n">
        <v>15200</v>
      </c>
      <c r="F26" s="11" t="s">
        <v>66</v>
      </c>
      <c r="G26" s="11" t="n">
        <v>16</v>
      </c>
    </row>
    <row r="27" customFormat="false" ht="15" hidden="false" customHeight="false" outlineLevel="0" collapsed="false">
      <c r="A27" s="7" t="s">
        <v>71</v>
      </c>
      <c r="B27" s="7" t="s">
        <v>91</v>
      </c>
      <c r="C27" s="19" t="n">
        <v>46157</v>
      </c>
      <c r="D27" s="19" t="n">
        <v>46202</v>
      </c>
      <c r="E27" s="8" t="n">
        <v>5600</v>
      </c>
      <c r="F27" s="7" t="s">
        <v>66</v>
      </c>
      <c r="G27" s="7" t="n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2026-07-10T18:58:41Z</dcterms:created>
  <dc:creator>openpyxl</dc:creator>
  <dc:description/>
  <dc:language>en-US</dc:language>
  <cp:lastModifiedBy/>
  <dcterms:modified xsi:type="dcterms:W3CDTF">2026-07-10T18:58:41Z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