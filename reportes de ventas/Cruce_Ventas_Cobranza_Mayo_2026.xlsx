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 Vendedores" sheetId="1" state="visible" r:id="rId3"/>
    <sheet name="Cobranz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<sst xmlns="http://schemas.openxmlformats.org/spreadsheetml/2006/main" count="125" uniqueCount="83">
  <si>
    <t xml:space="preserve">Vendedor</t>
  </si>
  <si>
    <t xml:space="preserve">Sucursal</t>
  </si>
  <si>
    <t xml:space="preserve">Meta Mensual</t>
  </si>
  <si>
    <t xml:space="preserve">Ventas Abril</t>
  </si>
  <si>
    <t xml:space="preserve">Ventas Mayo</t>
  </si>
  <si>
    <t xml:space="preserve">Ventas Mayo (detalle)</t>
  </si>
  <si>
    <t xml:space="preserve">Diferencia</t>
  </si>
  <si>
    <t xml:space="preserve">Cumplimiento Meta</t>
  </si>
  <si>
    <t xml:space="preserve">% Comisión</t>
  </si>
  <si>
    <t xml:space="preserve">Comisión a Pagar</t>
  </si>
  <si>
    <t xml:space="preserve">Crecimiento vs Abril</t>
  </si>
  <si>
    <t xml:space="preserve"># Operaciones</t>
  </si>
  <si>
    <t xml:space="preserve">Juan Pérez</t>
  </si>
  <si>
    <t xml:space="preserve">Guadalajara</t>
  </si>
  <si>
    <t xml:space="preserve">Sofía Martínez</t>
  </si>
  <si>
    <t xml:space="preserve">Monterrey</t>
  </si>
  <si>
    <t xml:space="preserve">María López</t>
  </si>
  <si>
    <t xml:space="preserve">CDMX</t>
  </si>
  <si>
    <t xml:space="preserve">Ana Torres</t>
  </si>
  <si>
    <t xml:space="preserve">Luis Gómez</t>
  </si>
  <si>
    <t xml:space="preserve">Carlos Ruiz</t>
  </si>
  <si>
    <t xml:space="preserve">TOTAL / PROMEDIO</t>
  </si>
  <si>
    <t xml:space="preserve">Notas:</t>
  </si>
  <si>
    <t xml:space="preserve">• Ventas Mayo = cifra oficial del reporte de comisiones. Ventas Mayo (detalle) = suma real del reporte transaccional.</t>
  </si>
  <si>
    <t xml:space="preserve">• Diferencia = detalle - comisiones. Juan Pérez marca -4,720: se comisiona sobre ventas que no aparecen en el detalle.</t>
  </si>
  <si>
    <t xml:space="preserve">• % Comisión y Comisión a Pagar calculados sobre Ventas Mayo (oficial). Crecimiento = (Mayo-Abril)/Abril.</t>
  </si>
  <si>
    <t xml:space="preserve">• Carlos Ruiz es el único bajo meta (87%). Ana Torres cayó -40% vs abril.</t>
  </si>
  <si>
    <t xml:space="preserve">• Sucursal = la asignada en el reporte de comisiones (no siempre coincide con dónde factura realmente).</t>
  </si>
  <si>
    <t xml:space="preserve">Fecha de corte:</t>
  </si>
  <si>
    <t xml:space="preserve">Cliente</t>
  </si>
  <si>
    <t xml:space="preserve">Factura</t>
  </si>
  <si>
    <t xml:space="preserve">Fecha Emisión</t>
  </si>
  <si>
    <t xml:space="preserve">Fecha Vencimiento</t>
  </si>
  <si>
    <t xml:space="preserve">Monto</t>
  </si>
  <si>
    <t xml:space="preserve">Estatus</t>
  </si>
  <si>
    <t xml:space="preserve">Días Vencido</t>
  </si>
  <si>
    <t xml:space="preserve">Clínica Santa Fe</t>
  </si>
  <si>
    <t xml:space="preserve">F-2609</t>
  </si>
  <si>
    <t xml:space="preserve">Pendiente</t>
  </si>
  <si>
    <t xml:space="preserve">Distribuidora Andrade</t>
  </si>
  <si>
    <t xml:space="preserve">F-2605</t>
  </si>
  <si>
    <t xml:space="preserve">Papelería Central</t>
  </si>
  <si>
    <t xml:space="preserve">F-2621</t>
  </si>
  <si>
    <t xml:space="preserve">Constructora Vega</t>
  </si>
  <si>
    <t xml:space="preserve">F-2606</t>
  </si>
  <si>
    <t xml:space="preserve">Grupo Salinas SA</t>
  </si>
  <si>
    <t xml:space="preserve">F-2602</t>
  </si>
  <si>
    <t xml:space="preserve">F-2625</t>
  </si>
  <si>
    <t xml:space="preserve">Comercial El Roble</t>
  </si>
  <si>
    <t xml:space="preserve">F-2624</t>
  </si>
  <si>
    <t xml:space="preserve">F-2614</t>
  </si>
  <si>
    <t xml:space="preserve">Restaurante Don Pepe</t>
  </si>
  <si>
    <t xml:space="preserve">F-2603</t>
  </si>
  <si>
    <t xml:space="preserve">F-2607</t>
  </si>
  <si>
    <t xml:space="preserve">F-2622</t>
  </si>
  <si>
    <t xml:space="preserve">Boutique Aurora</t>
  </si>
  <si>
    <t xml:space="preserve">F-2618</t>
  </si>
  <si>
    <t xml:space="preserve">Autopartes Norte</t>
  </si>
  <si>
    <t xml:space="preserve">F-2604</t>
  </si>
  <si>
    <t xml:space="preserve">F-2617</t>
  </si>
  <si>
    <t xml:space="preserve">F-2613</t>
  </si>
  <si>
    <t xml:space="preserve">F-2611</t>
  </si>
  <si>
    <t xml:space="preserve">F-2610</t>
  </si>
  <si>
    <t xml:space="preserve">Abarrotes La Esquina</t>
  </si>
  <si>
    <t xml:space="preserve">F-2615</t>
  </si>
  <si>
    <t xml:space="preserve">Ferretería López</t>
  </si>
  <si>
    <t xml:space="preserve">F-2620</t>
  </si>
  <si>
    <t xml:space="preserve">Sin estatus</t>
  </si>
  <si>
    <t xml:space="preserve">F-2600</t>
  </si>
  <si>
    <t xml:space="preserve">Pagado</t>
  </si>
  <si>
    <t xml:space="preserve">F-2608</t>
  </si>
  <si>
    <t xml:space="preserve">F-2616</t>
  </si>
  <si>
    <t xml:space="preserve">F-2619</t>
  </si>
  <si>
    <t xml:space="preserve">F-2612</t>
  </si>
  <si>
    <t xml:space="preserve">F-2623</t>
  </si>
  <si>
    <t xml:space="preserve">F-2601</t>
  </si>
  <si>
    <t xml:space="preserve">Total Pendiente:</t>
  </si>
  <si>
    <t xml:space="preserve">Total Sin estatus:</t>
  </si>
  <si>
    <t xml:space="preserve">Total Pagado:</t>
  </si>
  <si>
    <t xml:space="preserve">• Días Vencido = Fecha de corte (B1) menos Fecha de Vencimiento, solo para facturas Pendientes.</t>
  </si>
  <si>
    <t xml:space="preserve">• F-2620 (Ferretería López) venía sin estatus en el origen; se marcó 'Sin estatus', no se asume pagada ni pendiente.</t>
  </si>
  <si>
    <t xml:space="preserve">• Nombres corregidos ortográficamente: Clínica Santa Fe, Papelería Central, Ferretería López.</t>
  </si>
  <si>
    <t xml:space="preserve">• Este bloque no se puede cruzar por vendedor: el reporte de cobranza no registra quién hizo cada venta.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</si>
</sst>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3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4" t="n">
        <v>250000</v>
      </c>
      <c r="D2" s="4" t="n">
        <v>759152</v>
      </c>
      <c r="E2" s="4" t="n">
        <v>711150</v>
      </c>
      <c r="F2" s="4" t="n">
        <v>706430</v>
      </c>
      <c r="G2" s="4" t="n">
        <f aca="false">F2-E2</f>
        <v>-4720</v>
      </c>
      <c r="H2" s="5" t="n">
        <f aca="false">E2/C2</f>
        <v>2.8446</v>
      </c>
      <c r="I2" s="5" t="n">
        <v>0.03</v>
      </c>
      <c r="J2" s="4" t="n">
        <f aca="false">E2*I2</f>
        <v>21334.5</v>
      </c>
      <c r="K2" s="5" t="n">
        <f aca="false">(E2-D2)/D2</f>
        <v>-0.0632310788880224</v>
      </c>
      <c r="L2" s="3" t="n">
        <v>26</v>
      </c>
    </row>
    <row r="3" customFormat="false" ht="15" hidden="false" customHeight="false" outlineLevel="0" collapsed="false">
      <c r="A3" s="2" t="s">
        <v>14</v>
      </c>
      <c r="B3" s="3" t="s">
        <v>15</v>
      </c>
      <c r="C3" s="4" t="n">
        <v>200000</v>
      </c>
      <c r="D3" s="4" t="n">
        <v>564755</v>
      </c>
      <c r="E3" s="4" t="n">
        <v>532440</v>
      </c>
      <c r="F3" s="4" t="n">
        <v>532440</v>
      </c>
      <c r="G3" s="4" t="n">
        <f aca="false">F3-E3</f>
        <v>0</v>
      </c>
      <c r="H3" s="5" t="n">
        <f aca="false">E3/C3</f>
        <v>2.6622</v>
      </c>
      <c r="I3" s="5" t="n">
        <v>0.06</v>
      </c>
      <c r="J3" s="4" t="n">
        <f aca="false">E3*I3</f>
        <v>31946.4</v>
      </c>
      <c r="K3" s="5" t="n">
        <f aca="false">(E3-D3)/D3</f>
        <v>-0.0572195022620428</v>
      </c>
      <c r="L3" s="3" t="n">
        <v>22</v>
      </c>
    </row>
    <row r="4" customFormat="false" ht="15" hidden="false" customHeight="false" outlineLevel="0" collapsed="false">
      <c r="A4" s="2" t="s">
        <v>16</v>
      </c>
      <c r="B4" s="3" t="s">
        <v>17</v>
      </c>
      <c r="C4" s="4" t="n">
        <v>300000</v>
      </c>
      <c r="D4" s="4" t="n">
        <v>507115</v>
      </c>
      <c r="E4" s="4" t="n">
        <v>516740</v>
      </c>
      <c r="F4" s="4" t="n">
        <v>516740</v>
      </c>
      <c r="G4" s="4" t="n">
        <f aca="false">F4-E4</f>
        <v>0</v>
      </c>
      <c r="H4" s="5" t="n">
        <f aca="false">E4/C4</f>
        <v>1.72246666666667</v>
      </c>
      <c r="I4" s="5" t="n">
        <v>0.05</v>
      </c>
      <c r="J4" s="4" t="n">
        <f aca="false">E4*I4</f>
        <v>25837</v>
      </c>
      <c r="K4" s="5" t="n">
        <f aca="false">(E4-D4)/D4</f>
        <v>0.0189799157981917</v>
      </c>
      <c r="L4" s="3" t="n">
        <v>18</v>
      </c>
    </row>
    <row r="5" customFormat="false" ht="15" hidden="false" customHeight="false" outlineLevel="0" collapsed="false">
      <c r="A5" s="2" t="s">
        <v>18</v>
      </c>
      <c r="B5" s="3" t="s">
        <v>17</v>
      </c>
      <c r="C5" s="4" t="n">
        <v>220000</v>
      </c>
      <c r="D5" s="4" t="n">
        <v>776683</v>
      </c>
      <c r="E5" s="4" t="n">
        <v>466010</v>
      </c>
      <c r="F5" s="4" t="n">
        <v>466010</v>
      </c>
      <c r="G5" s="4" t="n">
        <f aca="false">F5-E5</f>
        <v>0</v>
      </c>
      <c r="H5" s="5" t="n">
        <f aca="false">E5/C5</f>
        <v>2.11822727272727</v>
      </c>
      <c r="I5" s="5" t="n">
        <v>0.025</v>
      </c>
      <c r="J5" s="4" t="n">
        <f aca="false">E5*I5</f>
        <v>11650.25</v>
      </c>
      <c r="K5" s="5" t="n">
        <f aca="false">(E5-D5)/D5</f>
        <v>-0.399999742494686</v>
      </c>
      <c r="L5" s="3" t="n">
        <v>21</v>
      </c>
    </row>
    <row r="6" customFormat="false" ht="15" hidden="false" customHeight="false" outlineLevel="0" collapsed="false">
      <c r="A6" s="2" t="s">
        <v>19</v>
      </c>
      <c r="B6" s="3" t="s">
        <v>13</v>
      </c>
      <c r="C6" s="4" t="n">
        <v>260000</v>
      </c>
      <c r="D6" s="4" t="n">
        <v>232885</v>
      </c>
      <c r="E6" s="4" t="n">
        <v>384260</v>
      </c>
      <c r="F6" s="4" t="n">
        <v>384260</v>
      </c>
      <c r="G6" s="4" t="n">
        <f aca="false">F6-E6</f>
        <v>0</v>
      </c>
      <c r="H6" s="5" t="n">
        <f aca="false">E6/C6</f>
        <v>1.47792307692308</v>
      </c>
      <c r="I6" s="5" t="n">
        <v>0.035</v>
      </c>
      <c r="J6" s="4" t="n">
        <f aca="false">E6*I6</f>
        <v>13449.1</v>
      </c>
      <c r="K6" s="5" t="n">
        <f aca="false">(E6-D6)/D6</f>
        <v>0.649998926508792</v>
      </c>
      <c r="L6" s="3" t="n">
        <v>13</v>
      </c>
    </row>
    <row r="7" customFormat="false" ht="15" hidden="false" customHeight="false" outlineLevel="0" collapsed="false">
      <c r="A7" s="2" t="s">
        <v>20</v>
      </c>
      <c r="B7" s="3" t="s">
        <v>15</v>
      </c>
      <c r="C7" s="4" t="n">
        <v>280000</v>
      </c>
      <c r="D7" s="4" t="n">
        <v>243300</v>
      </c>
      <c r="E7" s="4" t="n">
        <v>242980</v>
      </c>
      <c r="F7" s="4" t="n">
        <v>242980</v>
      </c>
      <c r="G7" s="4" t="n">
        <f aca="false">F7-E7</f>
        <v>0</v>
      </c>
      <c r="H7" s="5" t="n">
        <f aca="false">E7/C7</f>
        <v>0.867785714285714</v>
      </c>
      <c r="I7" s="5" t="n">
        <v>0.045</v>
      </c>
      <c r="J7" s="4" t="n">
        <f aca="false">E7*I7</f>
        <v>10934.1</v>
      </c>
      <c r="K7" s="5" t="n">
        <f aca="false">(E7-D7)/D7</f>
        <v>-0.00131524866420058</v>
      </c>
      <c r="L7" s="3" t="n">
        <v>20</v>
      </c>
    </row>
    <row r="8" customFormat="false" ht="15" hidden="false" customHeight="false" outlineLevel="0" collapsed="false">
      <c r="A8" s="6" t="s">
        <v>21</v>
      </c>
      <c r="B8" s="7"/>
      <c r="C8" s="8" t="n">
        <f aca="false">SUM(C2:C7)</f>
        <v>1510000</v>
      </c>
      <c r="D8" s="8" t="n">
        <f aca="false">SUM(D2:D7)</f>
        <v>3083890</v>
      </c>
      <c r="E8" s="8" t="n">
        <f aca="false">SUM(E2:E7)</f>
        <v>2853580</v>
      </c>
      <c r="F8" s="8" t="n">
        <f aca="false">SUM(F2:F7)</f>
        <v>2848860</v>
      </c>
      <c r="G8" s="8" t="n">
        <f aca="false">SUM(G2:G7)</f>
        <v>-4720</v>
      </c>
      <c r="H8" s="9" t="n">
        <f aca="false">E8/C8</f>
        <v>1.8897880794702</v>
      </c>
      <c r="I8" s="9"/>
      <c r="J8" s="8" t="n">
        <f aca="false">SUM(J2:J7)</f>
        <v>115151.35</v>
      </c>
      <c r="K8" s="9" t="n">
        <f aca="false">(E8-D8)/D8</f>
        <v>-0.0746816520693021</v>
      </c>
      <c r="L8" s="7" t="n">
        <f aca="false">SUM(L2:L7)</f>
        <v>120</v>
      </c>
    </row>
    <row r="10" customFormat="false" ht="15" hidden="false" customHeight="false" outlineLevel="0" collapsed="false">
      <c r="A10" s="10" t="s">
        <v>22</v>
      </c>
    </row>
    <row r="11" customFormat="false" ht="15" hidden="false" customHeight="false" outlineLevel="0" collapsed="false">
      <c r="A11" s="11" t="s">
        <v>23</v>
      </c>
    </row>
    <row r="12" customFormat="false" ht="15" hidden="false" customHeight="false" outlineLevel="0" collapsed="false">
      <c r="A12" s="11" t="s">
        <v>24</v>
      </c>
    </row>
    <row r="13" customFormat="false" ht="15" hidden="false" customHeight="false" outlineLevel="0" collapsed="false">
      <c r="A13" s="11" t="s">
        <v>25</v>
      </c>
    </row>
    <row r="14" customFormat="false" ht="15" hidden="false" customHeight="false" outlineLevel="0" collapsed="false">
      <c r="A14" s="11" t="s">
        <v>26</v>
      </c>
    </row>
    <row r="15" customFormat="false" ht="15" hidden="false" customHeight="false" outlineLevel="0" collapsed="false">
      <c r="A15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7" min="5" style="0" width="13"/>
  </cols>
  <sheetData>
    <row r="1" customFormat="false" ht="15" hidden="false" customHeight="false" outlineLevel="0" collapsed="false">
      <c r="A1" s="12" t="s">
        <v>28</v>
      </c>
      <c r="B1" s="13" t="n">
        <v>46217</v>
      </c>
    </row>
    <row r="2" customFormat="false" ht="26.85" hidden="false" customHeight="false" outlineLevel="0" collapsed="false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</row>
    <row r="3" customFormat="false" ht="15" hidden="false" customHeight="false" outlineLevel="0" collapsed="false">
      <c r="A3" s="2" t="s">
        <v>36</v>
      </c>
      <c r="B3" s="3" t="s">
        <v>37</v>
      </c>
      <c r="C3" s="14" t="n">
        <v>46097</v>
      </c>
      <c r="D3" s="14" t="n">
        <v>46117</v>
      </c>
      <c r="E3" s="4" t="n">
        <v>73500</v>
      </c>
      <c r="F3" s="3" t="s">
        <v>38</v>
      </c>
      <c r="G3" s="3" t="n">
        <f aca="false">IF(F3="Pendiente",$B$1-D3,"")</f>
        <v>100</v>
      </c>
    </row>
    <row r="4" customFormat="false" ht="15" hidden="false" customHeight="false" outlineLevel="0" collapsed="false">
      <c r="A4" s="2" t="s">
        <v>39</v>
      </c>
      <c r="B4" s="3" t="s">
        <v>40</v>
      </c>
      <c r="C4" s="14" t="n">
        <v>46083</v>
      </c>
      <c r="D4" s="14" t="n">
        <v>46113</v>
      </c>
      <c r="E4" s="4" t="n">
        <v>42000</v>
      </c>
      <c r="F4" s="3" t="s">
        <v>38</v>
      </c>
      <c r="G4" s="3" t="n">
        <f aca="false">IF(F4="Pendiente",$B$1-D4,"")</f>
        <v>104</v>
      </c>
    </row>
    <row r="5" customFormat="false" ht="15" hidden="false" customHeight="false" outlineLevel="0" collapsed="false">
      <c r="A5" s="2" t="s">
        <v>41</v>
      </c>
      <c r="B5" s="3" t="s">
        <v>42</v>
      </c>
      <c r="C5" s="14" t="n">
        <v>46087</v>
      </c>
      <c r="D5" s="14" t="n">
        <v>46117</v>
      </c>
      <c r="E5" s="4" t="n">
        <v>21000</v>
      </c>
      <c r="F5" s="3" t="s">
        <v>38</v>
      </c>
      <c r="G5" s="3" t="n">
        <f aca="false">IF(F5="Pendiente",$B$1-D5,"")</f>
        <v>100</v>
      </c>
    </row>
    <row r="6" customFormat="false" ht="15" hidden="false" customHeight="false" outlineLevel="0" collapsed="false">
      <c r="A6" s="2" t="s">
        <v>43</v>
      </c>
      <c r="B6" s="3" t="s">
        <v>44</v>
      </c>
      <c r="C6" s="14" t="n">
        <v>46099</v>
      </c>
      <c r="D6" s="14" t="n">
        <v>46114</v>
      </c>
      <c r="E6" s="4" t="n">
        <v>33400</v>
      </c>
      <c r="F6" s="3" t="s">
        <v>38</v>
      </c>
      <c r="G6" s="3" t="n">
        <f aca="false">IF(F6="Pendiente",$B$1-D6,"")</f>
        <v>103</v>
      </c>
    </row>
    <row r="7" customFormat="false" ht="15" hidden="false" customHeight="false" outlineLevel="0" collapsed="false">
      <c r="A7" s="2" t="s">
        <v>45</v>
      </c>
      <c r="B7" s="3" t="s">
        <v>46</v>
      </c>
      <c r="C7" s="14" t="n">
        <v>46126</v>
      </c>
      <c r="D7" s="14" t="n">
        <v>46132</v>
      </c>
      <c r="E7" s="4" t="n">
        <v>128000</v>
      </c>
      <c r="F7" s="3" t="s">
        <v>38</v>
      </c>
      <c r="G7" s="3" t="n">
        <f aca="false">IF(F7="Pendiente",$B$1-D7,"")</f>
        <v>85</v>
      </c>
    </row>
    <row r="8" customFormat="false" ht="15" hidden="false" customHeight="false" outlineLevel="0" collapsed="false">
      <c r="A8" s="2" t="s">
        <v>36</v>
      </c>
      <c r="B8" s="3" t="s">
        <v>47</v>
      </c>
      <c r="C8" s="14" t="n">
        <v>46090</v>
      </c>
      <c r="D8" s="14" t="n">
        <v>46135</v>
      </c>
      <c r="E8" s="4" t="n">
        <v>8500</v>
      </c>
      <c r="F8" s="3" t="s">
        <v>38</v>
      </c>
      <c r="G8" s="3" t="n">
        <f aca="false">IF(F8="Pendiente",$B$1-D8,"")</f>
        <v>82</v>
      </c>
    </row>
    <row r="9" customFormat="false" ht="15" hidden="false" customHeight="false" outlineLevel="0" collapsed="false">
      <c r="A9" s="2" t="s">
        <v>48</v>
      </c>
      <c r="B9" s="3" t="s">
        <v>49</v>
      </c>
      <c r="C9" s="14" t="n">
        <v>46089</v>
      </c>
      <c r="D9" s="14" t="n">
        <v>46119</v>
      </c>
      <c r="E9" s="4" t="n">
        <v>8500</v>
      </c>
      <c r="F9" s="3" t="s">
        <v>38</v>
      </c>
      <c r="G9" s="3" t="n">
        <f aca="false">IF(F9="Pendiente",$B$1-D9,"")</f>
        <v>98</v>
      </c>
    </row>
    <row r="10" customFormat="false" ht="15" hidden="false" customHeight="false" outlineLevel="0" collapsed="false">
      <c r="A10" s="2" t="s">
        <v>41</v>
      </c>
      <c r="B10" s="3" t="s">
        <v>50</v>
      </c>
      <c r="C10" s="14" t="n">
        <v>46114</v>
      </c>
      <c r="D10" s="14" t="n">
        <v>46152</v>
      </c>
      <c r="E10" s="4" t="n">
        <v>56000</v>
      </c>
      <c r="F10" s="3" t="s">
        <v>38</v>
      </c>
      <c r="G10" s="3" t="n">
        <f aca="false">IF(F10="Pendiente",$B$1-D10,"")</f>
        <v>65</v>
      </c>
    </row>
    <row r="11" customFormat="false" ht="15" hidden="false" customHeight="false" outlineLevel="0" collapsed="false">
      <c r="A11" s="2" t="s">
        <v>51</v>
      </c>
      <c r="B11" s="3" t="s">
        <v>52</v>
      </c>
      <c r="C11" s="14" t="n">
        <v>46114</v>
      </c>
      <c r="D11" s="14" t="n">
        <v>46144</v>
      </c>
      <c r="E11" s="4" t="n">
        <v>15200</v>
      </c>
      <c r="F11" s="3" t="s">
        <v>38</v>
      </c>
      <c r="G11" s="3" t="n">
        <f aca="false">IF(F11="Pendiente",$B$1-D11,"")</f>
        <v>73</v>
      </c>
    </row>
    <row r="12" customFormat="false" ht="15" hidden="false" customHeight="false" outlineLevel="0" collapsed="false">
      <c r="A12" s="2" t="s">
        <v>51</v>
      </c>
      <c r="B12" s="3" t="s">
        <v>53</v>
      </c>
      <c r="C12" s="14" t="n">
        <v>46148</v>
      </c>
      <c r="D12" s="14" t="n">
        <v>46163</v>
      </c>
      <c r="E12" s="4" t="n">
        <v>33400</v>
      </c>
      <c r="F12" s="3" t="s">
        <v>38</v>
      </c>
      <c r="G12" s="3" t="n">
        <f aca="false">IF(F12="Pendiente",$B$1-D12,"")</f>
        <v>54</v>
      </c>
    </row>
    <row r="13" customFormat="false" ht="15" hidden="false" customHeight="false" outlineLevel="0" collapsed="false">
      <c r="A13" s="2" t="s">
        <v>48</v>
      </c>
      <c r="B13" s="3" t="s">
        <v>54</v>
      </c>
      <c r="C13" s="14" t="n">
        <v>46140</v>
      </c>
      <c r="D13" s="14" t="n">
        <v>46170</v>
      </c>
      <c r="E13" s="4" t="n">
        <v>5600</v>
      </c>
      <c r="F13" s="3" t="s">
        <v>38</v>
      </c>
      <c r="G13" s="3" t="n">
        <f aca="false">IF(F13="Pendiente",$B$1-D13,"")</f>
        <v>47</v>
      </c>
    </row>
    <row r="14" customFormat="false" ht="15" hidden="false" customHeight="false" outlineLevel="0" collapsed="false">
      <c r="A14" s="2" t="s">
        <v>55</v>
      </c>
      <c r="B14" s="3" t="s">
        <v>56</v>
      </c>
      <c r="C14" s="14" t="n">
        <v>46134</v>
      </c>
      <c r="D14" s="14" t="n">
        <v>46179</v>
      </c>
      <c r="E14" s="4" t="n">
        <v>8500</v>
      </c>
      <c r="F14" s="3" t="s">
        <v>38</v>
      </c>
      <c r="G14" s="3" t="n">
        <f aca="false">IF(F14="Pendiente",$B$1-D14,"")</f>
        <v>38</v>
      </c>
    </row>
    <row r="15" customFormat="false" ht="15" hidden="false" customHeight="false" outlineLevel="0" collapsed="false">
      <c r="A15" s="2" t="s">
        <v>57</v>
      </c>
      <c r="B15" s="3" t="s">
        <v>58</v>
      </c>
      <c r="C15" s="14" t="n">
        <v>46161</v>
      </c>
      <c r="D15" s="14" t="n">
        <v>46176</v>
      </c>
      <c r="E15" s="4" t="n">
        <v>33400</v>
      </c>
      <c r="F15" s="3" t="s">
        <v>38</v>
      </c>
      <c r="G15" s="3" t="n">
        <f aca="false">IF(F15="Pendiente",$B$1-D15,"")</f>
        <v>41</v>
      </c>
    </row>
    <row r="16" customFormat="false" ht="15" hidden="false" customHeight="false" outlineLevel="0" collapsed="false">
      <c r="A16" s="2" t="s">
        <v>55</v>
      </c>
      <c r="B16" s="3" t="s">
        <v>59</v>
      </c>
      <c r="C16" s="14" t="n">
        <v>46152</v>
      </c>
      <c r="D16" s="14" t="n">
        <v>46182</v>
      </c>
      <c r="E16" s="4" t="n">
        <v>9800</v>
      </c>
      <c r="F16" s="3" t="s">
        <v>38</v>
      </c>
      <c r="G16" s="3" t="n">
        <f aca="false">IF(F16="Pendiente",$B$1-D16,"")</f>
        <v>35</v>
      </c>
    </row>
    <row r="17" customFormat="false" ht="15" hidden="false" customHeight="false" outlineLevel="0" collapsed="false">
      <c r="A17" s="2" t="s">
        <v>45</v>
      </c>
      <c r="B17" s="3" t="s">
        <v>60</v>
      </c>
      <c r="C17" s="14" t="n">
        <v>46156</v>
      </c>
      <c r="D17" s="14" t="n">
        <v>46186</v>
      </c>
      <c r="E17" s="4" t="n">
        <v>128000</v>
      </c>
      <c r="F17" s="3" t="s">
        <v>38</v>
      </c>
      <c r="G17" s="3" t="n">
        <f aca="false">IF(F17="Pendiente",$B$1-D17,"")</f>
        <v>31</v>
      </c>
    </row>
    <row r="18" customFormat="false" ht="15" hidden="false" customHeight="false" outlineLevel="0" collapsed="false">
      <c r="A18" s="2" t="s">
        <v>48</v>
      </c>
      <c r="B18" s="3" t="s">
        <v>61</v>
      </c>
      <c r="C18" s="14" t="n">
        <v>46167</v>
      </c>
      <c r="D18" s="14" t="n">
        <v>46197</v>
      </c>
      <c r="E18" s="4" t="n">
        <v>15200</v>
      </c>
      <c r="F18" s="3" t="s">
        <v>38</v>
      </c>
      <c r="G18" s="3" t="n">
        <f aca="false">IF(F18="Pendiente",$B$1-D18,"")</f>
        <v>20</v>
      </c>
    </row>
    <row r="19" customFormat="false" ht="15" hidden="false" customHeight="false" outlineLevel="0" collapsed="false">
      <c r="A19" s="2" t="s">
        <v>41</v>
      </c>
      <c r="B19" s="3" t="s">
        <v>62</v>
      </c>
      <c r="C19" s="14" t="n">
        <v>46157</v>
      </c>
      <c r="D19" s="14" t="n">
        <v>46202</v>
      </c>
      <c r="E19" s="4" t="n">
        <v>5600</v>
      </c>
      <c r="F19" s="3" t="s">
        <v>38</v>
      </c>
      <c r="G19" s="3" t="n">
        <f aca="false">IF(F19="Pendiente",$B$1-D19,"")</f>
        <v>15</v>
      </c>
    </row>
    <row r="20" customFormat="false" ht="15" hidden="false" customHeight="false" outlineLevel="0" collapsed="false">
      <c r="A20" s="2" t="s">
        <v>63</v>
      </c>
      <c r="B20" s="3" t="s">
        <v>64</v>
      </c>
      <c r="C20" s="14" t="n">
        <v>46154</v>
      </c>
      <c r="D20" s="14" t="n">
        <v>46184</v>
      </c>
      <c r="E20" s="4" t="n">
        <v>9800</v>
      </c>
      <c r="F20" s="3" t="s">
        <v>38</v>
      </c>
      <c r="G20" s="3" t="n">
        <f aca="false">IF(F20="Pendiente",$B$1-D20,"")</f>
        <v>33</v>
      </c>
    </row>
    <row r="21" customFormat="false" ht="15" hidden="false" customHeight="false" outlineLevel="0" collapsed="false">
      <c r="A21" s="2" t="s">
        <v>65</v>
      </c>
      <c r="B21" s="3" t="s">
        <v>66</v>
      </c>
      <c r="C21" s="14" t="n">
        <v>46117</v>
      </c>
      <c r="D21" s="14" t="n">
        <v>46147</v>
      </c>
      <c r="E21" s="4" t="n">
        <v>21000</v>
      </c>
      <c r="F21" s="3" t="s">
        <v>67</v>
      </c>
      <c r="G21" s="3" t="str">
        <f aca="false">IF(F21="Pendiente",$B$1-D21,"")</f>
        <v/>
      </c>
    </row>
    <row r="22" customFormat="false" ht="15" hidden="false" customHeight="false" outlineLevel="0" collapsed="false">
      <c r="A22" s="2" t="s">
        <v>63</v>
      </c>
      <c r="B22" s="3" t="s">
        <v>68</v>
      </c>
      <c r="C22" s="14" t="n">
        <v>46094</v>
      </c>
      <c r="D22" s="14" t="n">
        <v>46109</v>
      </c>
      <c r="E22" s="4" t="n">
        <v>15200</v>
      </c>
      <c r="F22" s="3" t="s">
        <v>69</v>
      </c>
      <c r="G22" s="3" t="str">
        <f aca="false">IF(F22="Pendiente",$B$1-D22,"")</f>
        <v/>
      </c>
    </row>
    <row r="23" customFormat="false" ht="15" hidden="false" customHeight="false" outlineLevel="0" collapsed="false">
      <c r="A23" s="2" t="s">
        <v>63</v>
      </c>
      <c r="B23" s="3" t="s">
        <v>70</v>
      </c>
      <c r="C23" s="14" t="n">
        <v>46099</v>
      </c>
      <c r="D23" s="14" t="n">
        <v>46114</v>
      </c>
      <c r="E23" s="4" t="n">
        <v>33400</v>
      </c>
      <c r="F23" s="3" t="s">
        <v>69</v>
      </c>
      <c r="G23" s="3" t="str">
        <f aca="false">IF(F23="Pendiente",$B$1-D23,"")</f>
        <v/>
      </c>
    </row>
    <row r="24" customFormat="false" ht="15" hidden="false" customHeight="false" outlineLevel="0" collapsed="false">
      <c r="A24" s="2" t="s">
        <v>45</v>
      </c>
      <c r="B24" s="3" t="s">
        <v>71</v>
      </c>
      <c r="C24" s="14" t="n">
        <v>46090</v>
      </c>
      <c r="D24" s="14" t="n">
        <v>46120</v>
      </c>
      <c r="E24" s="4" t="n">
        <v>15200</v>
      </c>
      <c r="F24" s="3" t="s">
        <v>69</v>
      </c>
      <c r="G24" s="3" t="str">
        <f aca="false">IF(F24="Pendiente",$B$1-D24,"")</f>
        <v/>
      </c>
    </row>
    <row r="25" customFormat="false" ht="15" hidden="false" customHeight="false" outlineLevel="0" collapsed="false">
      <c r="A25" s="2" t="s">
        <v>63</v>
      </c>
      <c r="B25" s="3" t="s">
        <v>72</v>
      </c>
      <c r="C25" s="14" t="n">
        <v>46101</v>
      </c>
      <c r="D25" s="14" t="n">
        <v>46116</v>
      </c>
      <c r="E25" s="4" t="n">
        <v>9800</v>
      </c>
      <c r="F25" s="3" t="s">
        <v>69</v>
      </c>
      <c r="G25" s="3" t="str">
        <f aca="false">IF(F25="Pendiente",$B$1-D25,"")</f>
        <v/>
      </c>
    </row>
    <row r="26" customFormat="false" ht="15" hidden="false" customHeight="false" outlineLevel="0" collapsed="false">
      <c r="A26" s="2" t="s">
        <v>51</v>
      </c>
      <c r="B26" s="3" t="s">
        <v>73</v>
      </c>
      <c r="C26" s="14" t="n">
        <v>46123</v>
      </c>
      <c r="D26" s="14" t="n">
        <v>46153</v>
      </c>
      <c r="E26" s="4" t="n">
        <v>5600</v>
      </c>
      <c r="F26" s="3" t="s">
        <v>69</v>
      </c>
      <c r="G26" s="3" t="str">
        <f aca="false">IF(F26="Pendiente",$B$1-D26,"")</f>
        <v/>
      </c>
    </row>
    <row r="27" customFormat="false" ht="15" hidden="false" customHeight="false" outlineLevel="0" collapsed="false">
      <c r="A27" s="2" t="s">
        <v>63</v>
      </c>
      <c r="B27" s="3" t="s">
        <v>74</v>
      </c>
      <c r="C27" s="14" t="n">
        <v>46155</v>
      </c>
      <c r="D27" s="14" t="n">
        <v>46185</v>
      </c>
      <c r="E27" s="4" t="n">
        <v>42000</v>
      </c>
      <c r="F27" s="3" t="s">
        <v>69</v>
      </c>
      <c r="G27" s="3" t="str">
        <f aca="false">IF(F27="Pendiente",$B$1-D27,"")</f>
        <v/>
      </c>
    </row>
    <row r="28" customFormat="false" ht="15" hidden="false" customHeight="false" outlineLevel="0" collapsed="false">
      <c r="A28" s="2" t="s">
        <v>63</v>
      </c>
      <c r="B28" s="3" t="s">
        <v>75</v>
      </c>
      <c r="C28" s="14" t="n">
        <v>46144</v>
      </c>
      <c r="D28" s="14" t="n">
        <v>46174</v>
      </c>
      <c r="E28" s="4" t="n">
        <v>73500</v>
      </c>
      <c r="F28" s="3" t="s">
        <v>69</v>
      </c>
      <c r="G28" s="3" t="str">
        <f aca="false">IF(F28="Pendiente",$B$1-D28,"")</f>
        <v/>
      </c>
    </row>
    <row r="30" customFormat="false" ht="15" hidden="false" customHeight="false" outlineLevel="0" collapsed="false">
      <c r="D30" s="12" t="s">
        <v>76</v>
      </c>
      <c r="E30" s="15" t="n">
        <f aca="false">SUMIF(F3:F28,"Pendiente",E3:E28)</f>
        <v>635400</v>
      </c>
    </row>
    <row r="31" customFormat="false" ht="15" hidden="false" customHeight="false" outlineLevel="0" collapsed="false">
      <c r="D31" s="12" t="s">
        <v>77</v>
      </c>
      <c r="E31" s="15" t="n">
        <f aca="false">SUMIF(F3:F28,"Sin estatus",E3:E28)</f>
        <v>21000</v>
      </c>
    </row>
    <row r="32" customFormat="false" ht="15" hidden="false" customHeight="false" outlineLevel="0" collapsed="false">
      <c r="D32" s="12" t="s">
        <v>78</v>
      </c>
      <c r="E32" s="15" t="n">
        <f aca="false">SUMIF(F3:F28,"Pagado",E3:E28)</f>
        <v>194700</v>
      </c>
    </row>
    <row r="34" customFormat="false" ht="15" hidden="false" customHeight="false" outlineLevel="0" collapsed="false">
      <c r="A34" s="10" t="s">
        <v>22</v>
      </c>
    </row>
    <row r="35" customFormat="false" ht="15" hidden="false" customHeight="false" outlineLevel="0" collapsed="false">
      <c r="A35" s="11" t="s">
        <v>79</v>
      </c>
    </row>
    <row r="36" customFormat="false" ht="15" hidden="false" customHeight="false" outlineLevel="0" collapsed="false">
      <c r="A36" s="11" t="s">
        <v>80</v>
      </c>
    </row>
    <row r="37" customFormat="false" ht="15" hidden="false" customHeight="false" outlineLevel="0" collapsed="false">
      <c r="A37" s="11" t="s">
        <v>81</v>
      </c>
    </row>
    <row r="38" customFormat="false" ht="15" hidden="false" customHeight="false" outlineLevel="0" collapsed="false">
      <c r="A38" s="11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2026-07-14T18:41:08Z</dcterms:created>
  <dc:creator>openpyxl</dc:creator>
  <dc:description/>
  <dc:language>en-US</dc:language>
  <cp:lastModifiedBy/>
  <dcterms:modified xsi:type="dcterms:W3CDTF">2026-07-14T18:41:08Z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