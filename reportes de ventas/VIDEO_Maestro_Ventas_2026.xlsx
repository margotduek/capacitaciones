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rtada" sheetId="1" state="visible" r:id="rId3"/>
    <sheet name="Resumen Ejecutivo" sheetId="2" state="visible" r:id="rId4"/>
    <sheet name="Analisis" sheetId="3" state="visible" r:id="rId5"/>
    <sheet name="Datos" sheetId="4" state="visible" r:id="rId6"/>
    <sheet name="Cobranza" sheetId="5" state="visible" r:id="rId7"/>
    <sheet name="Validacion" sheetId="6" state="visible" r:id="rId8"/>
    <sheet name="Excepciones" sheetId="7" state="visible" r:id="rId9"/>
    <sheet name="Conciliacion" sheetId="8" state="visible" r:id="rId10"/>
    <sheet name="Diccionario" sheetId="9" state="visible" r:id="rId11"/>
    <sheet name="Cat_Productos" sheetId="10" state="visible" r:id="rId12"/>
    <sheet name="Cat_Vendedores" sheetId="11" state="visible" r:id="rId13"/>
    <sheet name="Cat_Gastos" sheetId="12" state="visible" r:id="rId14"/>
    <sheet name="Cat_Client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<sst xmlns="http://schemas.openxmlformats.org/spreadsheetml/2006/main" count="6989" uniqueCount="557">
  <si>
    <t xml:space="preserve">CONCILIACION DE VENTAS 2026 - EXCEL MAESTRO</t>
  </si>
  <si>
    <t xml:space="preserve">Fuente unica de verdad construida a partir de la carpeta 'reportes de ventas'</t>
  </si>
  <si>
    <t xml:space="preserve">Generado</t>
  </si>
  <si>
    <t xml:space="preserve">06/09/2026</t>
  </si>
  <si>
    <t xml:space="preserve">Periodo cubierto</t>
  </si>
  <si>
    <t xml:space="preserve">Enero a Mayo 2026</t>
  </si>
  <si>
    <t xml:space="preserve">Operaciones conciliadas</t>
  </si>
  <si>
    <t xml:space="preserve">Archivos fuente procesados</t>
  </si>
  <si>
    <t xml:space="preserve">7 fuentes transaccionales y 6 catalogos</t>
  </si>
  <si>
    <t xml:space="preserve">Fecha de corte para cobranza</t>
  </si>
  <si>
    <t xml:space="preserve">31/05/2026 (supuesto: cierre del periodo analizado)</t>
  </si>
  <si>
    <t xml:space="preserve">COMO LEER ESTE ARCHIVO</t>
  </si>
  <si>
    <t xml:space="preserve">Resumen Ejecutivo</t>
  </si>
  <si>
    <t xml:space="preserve">KPIs del periodo, todos con formula viva</t>
  </si>
  <si>
    <t xml:space="preserve">Datos</t>
  </si>
  <si>
    <t xml:space="preserve">Las 886 operaciones normalizadas. Cada fila dice de que archivo, hoja y fila salio</t>
  </si>
  <si>
    <t xml:space="preserve">Analisis</t>
  </si>
  <si>
    <t xml:space="preserve">Cortes por mes, sucursal, vendedor y producto. Todo con SUMAR.SI.CONJUNTO contra Datos</t>
  </si>
  <si>
    <t xml:space="preserve">Cobranza</t>
  </si>
  <si>
    <t xml:space="preserve">Cartera consolidada de los dos archivos de cobranza, con antiguedad</t>
  </si>
  <si>
    <t xml:space="preserve">Cat_Productos / Cat_Vendedores / Cat_Gastos / Cat_Clientes</t>
  </si>
  <si>
    <t xml:space="preserve">Catalogos de apoyo que alimentan las formulas</t>
  </si>
  <si>
    <t xml:space="preserve">Diccionario</t>
  </si>
  <si>
    <t xml:space="preserve">Cada variante de nombre que se agrupo y bajo que criterio</t>
  </si>
  <si>
    <t xml:space="preserve">Conciliacion</t>
  </si>
  <si>
    <t xml:space="preserve">Bitacora de cada decision tomada sobre los datos</t>
  </si>
  <si>
    <t xml:space="preserve">Excepciones</t>
  </si>
  <si>
    <t xml:space="preserve">Todo lo que quedo sospechoso o incompleto, ordenado por impacto</t>
  </si>
  <si>
    <t xml:space="preserve">Validacion</t>
  </si>
  <si>
    <t xml:space="preserve">Comparacion contra los reportes que ya existian en la carpeta</t>
  </si>
  <si>
    <t xml:space="preserve">REGLA DE ORO</t>
  </si>
  <si>
    <t xml:space="preserve">Si editas la hoja Datos, todo lo demas se recalcula solo. No hay valores pegados en los analisis</t>
  </si>
  <si>
    <t xml:space="preserve">CELDAS EN AMBAR</t>
  </si>
  <si>
    <t xml:space="preserve">Importes que el maestro calculo o corrigio. Estan listadas en Excepciones</t>
  </si>
  <si>
    <t xml:space="preserve">RESUMEN EJECUTIVO</t>
  </si>
  <si>
    <t xml:space="preserve">Enero a mayo 2026 | 886 operaciones conciliadas de 7 archivos de origen</t>
  </si>
  <si>
    <t xml:space="preserve">Venta total del periodo</t>
  </si>
  <si>
    <t xml:space="preserve">Suma de las 886 operaciones del maestro</t>
  </si>
  <si>
    <t xml:space="preserve">Operaciones</t>
  </si>
  <si>
    <t xml:space="preserve">Numero de lineas de venta conciliadas</t>
  </si>
  <si>
    <t xml:space="preserve">Unidades vendidas</t>
  </si>
  <si>
    <t xml:space="preserve">Ticket promedio</t>
  </si>
  <si>
    <t xml:space="preserve">Venta total entre operaciones</t>
  </si>
  <si>
    <t xml:space="preserve">Margen bruto</t>
  </si>
  <si>
    <t xml:space="preserve">Venta menos costo de catalogo. No incluye gastos</t>
  </si>
  <si>
    <t xml:space="preserve">% Margen bruto</t>
  </si>
  <si>
    <t xml:space="preserve">Gastos operativos del periodo</t>
  </si>
  <si>
    <t xml:space="preserve">Renta, nomina, servicios y otros de las tres sucursales</t>
  </si>
  <si>
    <t xml:space="preserve">Utilidad estimada</t>
  </si>
  <si>
    <t xml:space="preserve">Margen bruto menos gastos operativos</t>
  </si>
  <si>
    <t xml:space="preserve">Ventas de mayo</t>
  </si>
  <si>
    <t xml:space="preserve">Crecimiento mayo vs abril</t>
  </si>
  <si>
    <t xml:space="preserve">Mayo tiene 120 operaciones contra 187 de abril</t>
  </si>
  <si>
    <t xml:space="preserve">Cumplimiento de meta en mayo</t>
  </si>
  <si>
    <t xml:space="preserve">Ventas de mayo entre la suma de metas mensuales</t>
  </si>
  <si>
    <t xml:space="preserve">Comisiones por pagar de mayo</t>
  </si>
  <si>
    <t xml:space="preserve">Calculadas con el porcentaje del catalogo comercial</t>
  </si>
  <si>
    <t xml:space="preserve">Cartera total</t>
  </si>
  <si>
    <t xml:space="preserve">Facturas de los dos archivos de cobranza, sin duplicar</t>
  </si>
  <si>
    <t xml:space="preserve">Cartera vencida</t>
  </si>
  <si>
    <t xml:space="preserve">Facturas con mas de un dia de atraso al 31/05/2026</t>
  </si>
  <si>
    <t xml:space="preserve">% Cartera vencida sobre la cartera</t>
  </si>
  <si>
    <t xml:space="preserve">Filas excluidas del maestro</t>
  </si>
  <si>
    <t xml:space="preserve">Sin fecha legible. Estan listadas en Excepciones</t>
  </si>
  <si>
    <t xml:space="preserve">Diferencia contra los reportes previos</t>
  </si>
  <si>
    <t xml:space="preserve">Suma de las diferencias explicadas en la hoja Validacion</t>
  </si>
  <si>
    <t xml:space="preserve">LO QUE HAY QUE ARREGLAR</t>
  </si>
  <si>
    <t xml:space="preserve">1. La captura de ventas vive en 7 archivos con 4 formatos de fecha y 53 variantes de nombre. Un solo formulario o plantilla unica elimina el 90% del trabajo de conciliacion.</t>
  </si>
  <si>
    <t xml:space="preserve">2. Faltan capturas: 28 al 30 de abril (Ana), notas de marzo de Luis y 4,720 de Juan Perez en mayo. El hueco se arrastra desde julio sin resolverse.</t>
  </si>
  <si>
    <t xml:space="preserve">3. Ana Torres cae 40% en mayo (de 776,720 a 466,010) y es la unica caida fuerte del equipo. Hay que confirmar si es captura pendiente o caida real de venta.</t>
  </si>
  <si>
    <t xml:space="preserve">4. El precio de lista de abril del Monitor 27 dice 6,300 y se facturo a 6,200 en 13 operaciones. Hay que decidir cual es el precio bueno.</t>
  </si>
  <si>
    <t xml:space="preserve">5. La devolucion de marzo por 24,500 sigue capturada en positivo. Definir si se resta de la venta o se registra aparte.</t>
  </si>
  <si>
    <t xml:space="preserve">ANALISIS DEL PERIODO</t>
  </si>
  <si>
    <t xml:space="preserve">Todo se calcula con formulas contra la hoja Datos. Si Datos cambia, esto cambia.</t>
  </si>
  <si>
    <t xml:space="preserve">1. VENTAS POR MES</t>
  </si>
  <si>
    <t xml:space="preserve">Mes</t>
  </si>
  <si>
    <t xml:space="preserve">Ventas</t>
  </si>
  <si>
    <t xml:space="preserve">Unidades</t>
  </si>
  <si>
    <t xml:space="preserve">% Margen</t>
  </si>
  <si>
    <t xml:space="preserve">Var. vs mes anterior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</si>
  <si>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</si>
  <si>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</si>
  <si>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</si>
  <si>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</si>
  <si>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</si>
  <si>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TOTAL</t>
  </si>
  <si>
    <t xml:space="preserve">2. VENTAS POR SUCURSAL</t>
  </si>
  <si>
    <t xml:space="preserve">Sucursal</t>
  </si>
  <si>
    <t xml:space="preserve">Total periodo</t>
  </si>
  <si>
    <t xml:space="preserve">Gastos del periodo</t>
  </si>
  <si>
    <t xml:space="preserve">% Utilidad</t>
  </si>
  <si>
    <t xml:space="preserve">CDMX</t>
  </si>
  <si>
    <t xml:space="preserve">Guadalajara</t>
  </si>
  <si>
    <t xml:space="preserve">Monterrey</t>
  </si>
  <si>
    <t xml:space="preserve">Nota: los gastos del catalogo cubren enero a mayo. La utilidad estimada no incluye gastos corporativos.</t>
  </si>
  <si>
    <t xml:space="preserve">3. DESEMPENO POR VENDEDOR</t>
  </si>
  <si>
    <t xml:space="preserve">Vendedor</t>
  </si>
  <si>
    <t xml:space="preserve">Ventas Ene-May</t>
  </si>
  <si>
    <t xml:space="preserve">Ventas Mayo</t>
  </si>
  <si>
    <t xml:space="preserve">Meta mensual</t>
  </si>
  <si>
    <t xml:space="preserve">Cumplimiento Mayo</t>
  </si>
  <si>
    <t xml:space="preserve">% Comision</t>
  </si>
  <si>
    <t xml:space="preserve">Comision Mayo</t>
  </si>
  <si>
    <t xml:space="preserve">Ana Torres</t>
  </si>
  <si>
    <t xml:space="preserve">Carlos Ruiz</t>
  </si>
  <si>
    <t xml:space="preserve">Juan Pérez</t>
  </si>
  <si>
    <t xml:space="preserve">Luis Gómez</t>
  </si>
  <si>
    <t xml:space="preserve">María López</t>
  </si>
  <si>
    <t xml:space="preserve">Sofía Martínez</t>
  </si>
  <si>
    <t xml:space="preserve">Nota: Luis Gomez empezo a vender en marzo. Sus meses vacios de enero y febrero no son un hueco de conciliacion, es su fecha de ingreso.</t>
  </si>
  <si>
    <t xml:space="preserve">4. VENTAS POR PRODUCTO</t>
  </si>
  <si>
    <t xml:space="preserve">Producto</t>
  </si>
  <si>
    <t xml:space="preserve">Costo total</t>
  </si>
  <si>
    <t xml:space="preserve">% de la venta total</t>
  </si>
  <si>
    <t xml:space="preserve">Laptop Pro 14</t>
  </si>
  <si>
    <t xml:space="preserve">Monitor 27"</t>
  </si>
  <si>
    <t xml:space="preserve">Mouse Inalámbrico</t>
  </si>
  <si>
    <t xml:space="preserve">Teclado Mecánico</t>
  </si>
  <si>
    <t xml:space="preserve">Webcam HD</t>
  </si>
  <si>
    <t xml:space="preserve">5. CARTERA POR ANTIGUEDAD</t>
  </si>
  <si>
    <t xml:space="preserve">Antiguedad</t>
  </si>
  <si>
    <t xml:space="preserve">Facturas</t>
  </si>
  <si>
    <t xml:space="preserve">Monto</t>
  </si>
  <si>
    <t xml:space="preserve">% de la cartera</t>
  </si>
  <si>
    <t xml:space="preserve">Pagado</t>
  </si>
  <si>
    <t xml:space="preserve">Por vencer</t>
  </si>
  <si>
    <t xml:space="preserve">1 a 30 dias</t>
  </si>
  <si>
    <t xml:space="preserve">31 a 60 dias</t>
  </si>
  <si>
    <t xml:space="preserve">61 a 90 dias</t>
  </si>
  <si>
    <t xml:space="preserve">Mas de 90 dias</t>
  </si>
  <si>
    <t xml:space="preserve">Sin fecha de vencimiento</t>
  </si>
  <si>
    <t xml:space="preserve">TOTAL CARTERA</t>
  </si>
  <si>
    <t xml:space="preserve">Fecha</t>
  </si>
  <si>
    <t xml:space="preserve">Anio</t>
  </si>
  <si>
    <t xml:space="preserve">Mes_Nombre</t>
  </si>
  <si>
    <t xml:space="preserve">Cantidad</t>
  </si>
  <si>
    <t xml:space="preserve">Precio_Unitario</t>
  </si>
  <si>
    <t xml:space="preserve">Importe</t>
  </si>
  <si>
    <t xml:space="preserve">Importe_Calculado</t>
  </si>
  <si>
    <t xml:space="preserve">Costo_Unitario</t>
  </si>
  <si>
    <t xml:space="preserve">Costo_Total</t>
  </si>
  <si>
    <t xml:space="preserve">Margen</t>
  </si>
  <si>
    <t xml:space="preserve">Margen_%</t>
  </si>
  <si>
    <t xml:space="preserve">Obs_Origen</t>
  </si>
  <si>
    <t xml:space="preserve">Archivo_Origen</t>
  </si>
  <si>
    <t xml:space="preserve">Hoja_Origen</t>
  </si>
  <si>
    <t xml:space="preserve">Fila_Origen</t>
  </si>
  <si>
    <t xml:space="preserve">Banderas</t>
  </si>
  <si>
    <t xml:space="preserve">ventas enero FINAL FINAL.xlsx</t>
  </si>
  <si>
    <t xml:space="preserve">enero</t>
  </si>
  <si>
    <t xml:space="preserve">IMPORTE NO CUADRA</t>
  </si>
  <si>
    <t xml:space="preserve">Ventas Febrero 26.xlsx</t>
  </si>
  <si>
    <t xml:space="preserve">Hoja1</t>
  </si>
  <si>
    <t xml:space="preserve">marzo_ventas.csv</t>
  </si>
  <si>
    <t xml:space="preserve">-</t>
  </si>
  <si>
    <t xml:space="preserve">DEVOLUCION</t>
  </si>
  <si>
    <t xml:space="preserve">Ventas_Abril_FINAL_v2.xlsx</t>
  </si>
  <si>
    <t xml:space="preserve">GDL</t>
  </si>
  <si>
    <t xml:space="preserve">MTY</t>
  </si>
  <si>
    <t xml:space="preserve">Ventas_Mayo_2026 - Ventas Mayo.csv</t>
  </si>
  <si>
    <t xml:space="preserve">IMPORTE CALCULADO</t>
  </si>
  <si>
    <t xml:space="preserve">Fecha de corte:</t>
  </si>
  <si>
    <t xml:space="preserve">Supuesto: cierre del periodo analizado. Cambia esta celda y la antiguedad se recalcula</t>
  </si>
  <si>
    <t xml:space="preserve">Cliente</t>
  </si>
  <si>
    <t xml:space="preserve">Factura</t>
  </si>
  <si>
    <t xml:space="preserve">Fecha_Emision</t>
  </si>
  <si>
    <t xml:space="preserve">Fecha_Vencimiento</t>
  </si>
  <si>
    <t xml:space="preserve">Estatus</t>
  </si>
  <si>
    <t xml:space="preserve">Dias_Vencido</t>
  </si>
  <si>
    <t xml:space="preserve">Vendedor_Asignado</t>
  </si>
  <si>
    <t xml:space="preserve">Limite_Credito</t>
  </si>
  <si>
    <t xml:space="preserve">Dias_Credito</t>
  </si>
  <si>
    <t xml:space="preserve">Abarrotes La Esquina</t>
  </si>
  <si>
    <t xml:space="preserve">F-2600</t>
  </si>
  <si>
    <t xml:space="preserve">F-2608</t>
  </si>
  <si>
    <t xml:space="preserve">F-2619</t>
  </si>
  <si>
    <t xml:space="preserve">Grupo Salinas SA</t>
  </si>
  <si>
    <t xml:space="preserve">F-2616</t>
  </si>
  <si>
    <t xml:space="preserve">Restaurante Don Pepe</t>
  </si>
  <si>
    <t xml:space="preserve">F-2612</t>
  </si>
  <si>
    <t xml:space="preserve">F-2601</t>
  </si>
  <si>
    <t xml:space="preserve">F-2623</t>
  </si>
  <si>
    <t xml:space="preserve">F-2401</t>
  </si>
  <si>
    <t xml:space="preserve">F-2400</t>
  </si>
  <si>
    <t xml:space="preserve">F-2426</t>
  </si>
  <si>
    <t xml:space="preserve">Comercial El Roble</t>
  </si>
  <si>
    <t xml:space="preserve">F-2425</t>
  </si>
  <si>
    <t xml:space="preserve">Clinica Santa Fe</t>
  </si>
  <si>
    <t xml:space="preserve">F-2402</t>
  </si>
  <si>
    <t xml:space="preserve">F-2403</t>
  </si>
  <si>
    <t xml:space="preserve">F-2405</t>
  </si>
  <si>
    <t xml:space="preserve">Óptica Visión</t>
  </si>
  <si>
    <t xml:space="preserve">F-2408</t>
  </si>
  <si>
    <t xml:space="preserve">Autopartes Norte</t>
  </si>
  <si>
    <t xml:space="preserve">F-2409</t>
  </si>
  <si>
    <t xml:space="preserve">F-2410</t>
  </si>
  <si>
    <t xml:space="preserve">F-2411</t>
  </si>
  <si>
    <t xml:space="preserve">Papeleria Central</t>
  </si>
  <si>
    <t xml:space="preserve">F-2414</t>
  </si>
  <si>
    <t xml:space="preserve">Farmacias del Valle</t>
  </si>
  <si>
    <t xml:space="preserve">F-2415</t>
  </si>
  <si>
    <t xml:space="preserve">F-2416</t>
  </si>
  <si>
    <t xml:space="preserve">F-2417</t>
  </si>
  <si>
    <t xml:space="preserve">F-2418</t>
  </si>
  <si>
    <t xml:space="preserve">F-2419</t>
  </si>
  <si>
    <t xml:space="preserve">F-2420</t>
  </si>
  <si>
    <t xml:space="preserve">F-2421</t>
  </si>
  <si>
    <t xml:space="preserve">Hotel Miramar</t>
  </si>
  <si>
    <t xml:space="preserve">F-2422</t>
  </si>
  <si>
    <t xml:space="preserve">F-2424</t>
  </si>
  <si>
    <t xml:space="preserve">F-2427</t>
  </si>
  <si>
    <t xml:space="preserve">Distribuidora Andrade</t>
  </si>
  <si>
    <t xml:space="preserve">F-2605</t>
  </si>
  <si>
    <t xml:space="preserve">Pendiente</t>
  </si>
  <si>
    <t xml:space="preserve">Constructora Vega</t>
  </si>
  <si>
    <t xml:space="preserve">F-2606</t>
  </si>
  <si>
    <t xml:space="preserve">F-2609</t>
  </si>
  <si>
    <t xml:space="preserve">F-2621</t>
  </si>
  <si>
    <t xml:space="preserve">F-2624</t>
  </si>
  <si>
    <t xml:space="preserve">F-2602</t>
  </si>
  <si>
    <t xml:space="preserve">F-2625</t>
  </si>
  <si>
    <t xml:space="preserve">F-2603</t>
  </si>
  <si>
    <t xml:space="preserve">F-2614</t>
  </si>
  <si>
    <t xml:space="preserve">F-2607</t>
  </si>
  <si>
    <t xml:space="preserve">F-2622</t>
  </si>
  <si>
    <t xml:space="preserve">F-2604</t>
  </si>
  <si>
    <t xml:space="preserve">Boutique Aurora</t>
  </si>
  <si>
    <t xml:space="preserve">F-2618</t>
  </si>
  <si>
    <t xml:space="preserve">F-2617</t>
  </si>
  <si>
    <t xml:space="preserve">F-2615</t>
  </si>
  <si>
    <t xml:space="preserve">F-2613</t>
  </si>
  <si>
    <t xml:space="preserve">F-2611</t>
  </si>
  <si>
    <t xml:space="preserve">F-2610</t>
  </si>
  <si>
    <t xml:space="preserve">F-2404</t>
  </si>
  <si>
    <t xml:space="preserve">F-2406</t>
  </si>
  <si>
    <t xml:space="preserve">F-2407</t>
  </si>
  <si>
    <t xml:space="preserve">F-2412</t>
  </si>
  <si>
    <t xml:space="preserve">F-2413</t>
  </si>
  <si>
    <t xml:space="preserve">F-2423</t>
  </si>
  <si>
    <t xml:space="preserve">Ferreteria Lopez</t>
  </si>
  <si>
    <t xml:space="preserve">F-2620</t>
  </si>
  <si>
    <t xml:space="preserve">VALIDACION CONTRA LOS REPORTES PREVIOS</t>
  </si>
  <si>
    <t xml:space="preserve">Se compara el maestro contra los archivos ya procesados que existian en la carpeta. Ninguna diferencia queda sin explicar.</t>
  </si>
  <si>
    <t xml:space="preserve">Concepto</t>
  </si>
  <si>
    <t xml:space="preserve">Fuente_previa</t>
  </si>
  <si>
    <t xml:space="preserve">Valor_previo</t>
  </si>
  <si>
    <t xml:space="preserve">Valor_maestro</t>
  </si>
  <si>
    <t xml:space="preserve">Diferencia</t>
  </si>
  <si>
    <t xml:space="preserve">%</t>
  </si>
  <si>
    <t xml:space="preserve">Explicacion</t>
  </si>
  <si>
    <t xml:space="preserve">Ventas Mayo 2026</t>
  </si>
  <si>
    <t xml:space="preserve">Reporte_Ventas_Mayo_2026_LIMPIO.xlsx (hoja Ventas)</t>
  </si>
  <si>
    <t xml:space="preserve">Cuadra al peso con el reporte depurado. Contra el registro comercial faltan 4,720 de Juan Perez, hueco que el cruce del 14-jul ya reportaba</t>
  </si>
  <si>
    <t xml:space="preserve">Ventas Mayo por vendedor (detalle)</t>
  </si>
  <si>
    <t xml:space="preserve">Cruce_Ventas_Cobranza_Mayo_2026.xlsx</t>
  </si>
  <si>
    <t xml:space="preserve">Cuadra al peso con el cruce previo una vez que se excluye su fila de totales</t>
  </si>
  <si>
    <t xml:space="preserve">Ventas Enero 2026</t>
  </si>
  <si>
    <t xml:space="preserve">Metas_Comisiones_2026.xlsx (Ventas Ene)</t>
  </si>
  <si>
    <t xml:space="preserve">+23,900 de una operacion de Maria Lopez que solo existe en el XLSX de enero, mas +3,820 de dos importes capturados que no cuadran con cantidad x precio</t>
  </si>
  <si>
    <t xml:space="preserve">Ventas Febrero 2026</t>
  </si>
  <si>
    <t xml:space="preserve">Metas_Comisiones_2026.xlsx (Ventas Feb)</t>
  </si>
  <si>
    <t xml:space="preserve">Sin diferencia</t>
  </si>
  <si>
    <t xml:space="preserve">Ventas Marzo 2026</t>
  </si>
  <si>
    <t xml:space="preserve">Metas_Comisiones_2026.xlsx (Ventas Mar)</t>
  </si>
  <si>
    <t xml:space="preserve">-24,500 exactamente: la operacion marcada DEVOLUCION que el maestro conserva en positivo y el registro comercial ya habia restado</t>
  </si>
  <si>
    <t xml:space="preserve">Ventas Abril 2026</t>
  </si>
  <si>
    <t xml:space="preserve">Metas_Comisiones_2026.xlsx (Ventas Abr)</t>
  </si>
  <si>
    <t xml:space="preserve">Metas_Comisiones_2026.xlsx (Ventas May)</t>
  </si>
  <si>
    <t xml:space="preserve">EXCEPCIONES Y PENDIENTES</t>
  </si>
  <si>
    <t xml:space="preserve">Ordenadas por impacto en pesos. Lo que esta hasta arriba es lo que hay que resolver primero.</t>
  </si>
  <si>
    <t xml:space="preserve">Tipo</t>
  </si>
  <si>
    <t xml:space="preserve">Archivo</t>
  </si>
  <si>
    <t xml:space="preserve">Hoja</t>
  </si>
  <si>
    <t xml:space="preserve">Fila</t>
  </si>
  <si>
    <t xml:space="preserve">Detalle</t>
  </si>
  <si>
    <t xml:space="preserve">Impacto_MXN</t>
  </si>
  <si>
    <t xml:space="preserve">Diferencia vs reporte previo</t>
  </si>
  <si>
    <t xml:space="preserve">Ventas Mayo por vendedor (detalle): maestro 2,848,860 vs previo 5,697,720 (-50.0%)</t>
  </si>
  <si>
    <t xml:space="preserve">Cobranza sin fecha</t>
  </si>
  <si>
    <t xml:space="preserve">Cobranza_Q1_2026.xlsx</t>
  </si>
  <si>
    <t xml:space="preserve">cxc Q1</t>
  </si>
  <si>
    <t xml:space="preserve">6 facturas pendientes del Q1 no traen fecha de vencimiento; no se pueden clasificar por antiguedad</t>
  </si>
  <si>
    <t xml:space="preserve">Ventas Enero 2026: maestro 2,137,680 vs previo 2,109,960 (+1.3%)</t>
  </si>
  <si>
    <t xml:space="preserve">Ventas Marzo 2026: maestro 2,750,260 vs previo 2,774,760 (-0.9%)</t>
  </si>
  <si>
    <t xml:space="preserve">Devolucion</t>
  </si>
  <si>
    <t xml:space="preserve">Marcada como DEVOLUCION en el origen. Se conserva en positivo, pendiente decidir si se resta</t>
  </si>
  <si>
    <t xml:space="preserve">Importe inconsistente</t>
  </si>
  <si>
    <t xml:space="preserve">Importe capturado 28,900 vs cantidad x precio 23,900</t>
  </si>
  <si>
    <t xml:space="preserve">Precio fuera de lista</t>
  </si>
  <si>
    <t xml:space="preserve">Lista_Precios_2026.xlsx</t>
  </si>
  <si>
    <t xml:space="preserve">precios</t>
  </si>
  <si>
    <t xml:space="preserve">Abril: Monitor 27" se facturo a 6,200 y la lista dice 6,300 (13 operaciones)</t>
  </si>
  <si>
    <t xml:space="preserve">Importe capturado 4,620 vs cantidad x precio 5,800</t>
  </si>
  <si>
    <t xml:space="preserve">Posible duplicado</t>
  </si>
  <si>
    <t xml:space="preserve">2 filas identicas: 2026-03-23 Sofía Martínez Mouse Inalámbrico x4. Se conservan todas, puede ser venta legitima repetida</t>
  </si>
  <si>
    <t xml:space="preserve">2 filas identicas: 2026-04-09 Carlos Ruiz Teclado Mecánico x2. Se conservan todas, puede ser venta legitima repetida</t>
  </si>
  <si>
    <t xml:space="preserve">2 filas identicas: 2026-04-09 Ana Torres Teclado Mecánico x6. Se conservan todas, puede ser venta legitima repetida</t>
  </si>
  <si>
    <t xml:space="preserve">2 filas identicas: 2026-04-09 Ana Torres Teclado Mecánico x4. Se conservan todas, puede ser venta legitima repetida</t>
  </si>
  <si>
    <t xml:space="preserve">2 filas identicas: 2026-04-08 Sofía Martínez Webcam HD x3. Se conservan todas, puede ser venta legitima repetida</t>
  </si>
  <si>
    <t xml:space="preserve">2 filas identicas: 2026-04-07 Luis Gómez Teclado Mecánico x4. Se conservan todas, puede ser venta legitima repetida</t>
  </si>
  <si>
    <t xml:space="preserve">2 filas identicas: 2026-04-05 Ana Torres Teclado Mecánico x4. Se conservan todas, puede ser venta legitima repetida</t>
  </si>
  <si>
    <t xml:space="preserve">2 filas identicas: 2026-04-05 Ana Torres Teclado Mecánico x2. Se conservan todas, puede ser venta legitima repetida</t>
  </si>
  <si>
    <t xml:space="preserve">2 filas identicas: 2026-04-01 Luis Gómez Teclado Mecánico x2. Se conservan todas, puede ser venta legitima repetida</t>
  </si>
  <si>
    <t xml:space="preserve">2 filas identicas: 2026-03-25 María López Teclado Mecánico x2. Se conservan todas, puede ser venta legitima repetida</t>
  </si>
  <si>
    <t xml:space="preserve">2 filas identicas: 2026-03-25 Ana Torres Teclado Mecánico x6. Se conservan todas, puede ser venta legitima repetida</t>
  </si>
  <si>
    <t xml:space="preserve">3 filas identicas: 2026-01-03 María López Teclado Mecánico x4. Se conservan todas, puede ser venta legitima repetida</t>
  </si>
  <si>
    <t xml:space="preserve">2 filas identicas: 2026-03-21 Juan Pérez Mouse Inalámbrico x6. Se conservan todas, puede ser venta legitima repetida</t>
  </si>
  <si>
    <t xml:space="preserve">2 filas identicas: 2026-04-11 María López Teclado Mecánico x4. Se conservan todas, puede ser venta legitima repetida</t>
  </si>
  <si>
    <t xml:space="preserve">2 filas identicas: 2026-03-21 María López Teclado Mecánico x6. Se conservan todas, puede ser venta legitima repetida</t>
  </si>
  <si>
    <t xml:space="preserve">2 filas identicas: 2026-03-19 Juan Pérez Mouse Inalámbrico x6. Se conservan todas, puede ser venta legitima repetida</t>
  </si>
  <si>
    <t xml:space="preserve">2 filas identicas: 2026-03-19 Ana Torres Mouse Inalámbrico x6. Se conservan todas, puede ser venta legitima repetida</t>
  </si>
  <si>
    <t xml:space="preserve">2 filas identicas: 2026-03-17 Sofía Martínez Teclado Mecánico x6. Se conservan todas, puede ser venta legitima repetida</t>
  </si>
  <si>
    <t xml:space="preserve">2 filas identicas: 2026-03-17 María López Mouse Inalámbrico x4. Se conservan todas, puede ser venta legitima repetida</t>
  </si>
  <si>
    <t xml:space="preserve">2 filas identicas: 2026-03-15 Carlos Ruiz Teclado Mecánico x4. Se conservan todas, puede ser venta legitima repetida</t>
  </si>
  <si>
    <t xml:space="preserve">4 filas identicas: 2026-03-15 Juan Pérez Teclado Mecánico x6. Se conservan todas, puede ser venta legitima repetida</t>
  </si>
  <si>
    <t xml:space="preserve">2 filas identicas: 2026-03-13 Juan Pérez Teclado Mecánico x4. Se conservan todas, puede ser venta legitima repetida</t>
  </si>
  <si>
    <t xml:space="preserve">2 filas identicas: 2026-03-11 Ana Torres Mouse Inalámbrico x6. Se conservan todas, puede ser venta legitima repetida</t>
  </si>
  <si>
    <t xml:space="preserve">3 filas identicas: 2026-04-11 María López Mouse Inalámbrico x6. Se conservan todas, puede ser venta legitima repetida</t>
  </si>
  <si>
    <t xml:space="preserve">2 filas identicas: 2026-04-15 Ana Torres Mouse Inalámbrico x2. Se conservan todas, puede ser venta legitima repetida</t>
  </si>
  <si>
    <t xml:space="preserve">2 filas identicas: 2026-04-13 Ana Torres Mouse Inalámbrico x6. Se conservan todas, puede ser venta legitima repetida</t>
  </si>
  <si>
    <t xml:space="preserve">2 filas identicas: 2026-03-09 Juan Pérez Mouse Inalámbrico x2. Se conservan todas, puede ser venta legitima repetida</t>
  </si>
  <si>
    <t xml:space="preserve">Fecha ilegible</t>
  </si>
  <si>
    <t xml:space="preserve">No se pudo interpretar la fecha 'nan'; la fila se excluye del maestro</t>
  </si>
  <si>
    <t xml:space="preserve">Nota del capturista</t>
  </si>
  <si>
    <t xml:space="preserve">NOTAS</t>
  </si>
  <si>
    <t xml:space="preserve">- Faltan capturas del 28 al 30 de abril (Ana salió de viaje).</t>
  </si>
  <si>
    <t xml:space="preserve">- Los precios de laptop ya subieron desde marzo, verificar lista.</t>
  </si>
  <si>
    <t xml:space="preserve">- Luis todavía se está integrando, lleva pocas ventas.</t>
  </si>
  <si>
    <t xml:space="preserve">2 filas identicas: 2026-01-01 Carlos Ruiz Mouse Inalámbrico x2. Se conservan todas, puede ser venta legitima repetida</t>
  </si>
  <si>
    <t xml:space="preserve">2 filas identicas: 2026-01-03 Ana Torres Teclado Mecánico x2. Se conservan todas, puede ser venta legitima repetida</t>
  </si>
  <si>
    <t xml:space="preserve">2 filas identicas: 2026-04-27 Ana Torres Mouse Inalámbrico x2. Se conservan todas, puede ser venta legitima repetida</t>
  </si>
  <si>
    <t xml:space="preserve">2 filas identicas: 2026-04-26 Juan Pérez Webcam HD x3. Se conservan todas, puede ser venta legitima repetida</t>
  </si>
  <si>
    <t xml:space="preserve">2 filas identicas: 2026-04-23 Carlos Ruiz Mouse Inalámbrico x2. Se conservan todas, puede ser venta legitima repetida</t>
  </si>
  <si>
    <t xml:space="preserve">2 filas identicas: 2026-04-23 Luis Gómez Mouse Inalámbrico x6. Se conservan todas, puede ser venta legitima repetida</t>
  </si>
  <si>
    <t xml:space="preserve">2 filas identicas: 2026-04-21 María López Teclado Mecánico x2. Se conservan todas, puede ser venta legitima repetida</t>
  </si>
  <si>
    <t xml:space="preserve">2 filas identicas: 2026-04-20 Juan Pérez Laptop Pro 14 x5. Se conservan todas, puede ser venta legitima repetida</t>
  </si>
  <si>
    <t xml:space="preserve">2 filas identicas: 2026-04-19 Carlos Ruiz Mouse Inalámbrico x4. Se conservan todas, puede ser venta legitima repetida</t>
  </si>
  <si>
    <t xml:space="preserve">2 filas identicas: 2026-04-19 Ana Torres Teclado Mecánico x4. Se conservan todas, puede ser venta legitima repetida</t>
  </si>
  <si>
    <t xml:space="preserve">2 filas identicas: 2026-04-19 Ana Torres Teclado Mecánico x2. Se conservan todas, puede ser venta legitima repetida</t>
  </si>
  <si>
    <t xml:space="preserve">2 filas identicas: 2026-04-18 Sofía Martínez Monitor 27" x5. Se conservan todas, puede ser venta legitima repetida</t>
  </si>
  <si>
    <t xml:space="preserve">2 filas identicas: 2026-04-17 Ana Torres Mouse Inalámbrico x4. Se conservan todas, puede ser venta legitima repetida</t>
  </si>
  <si>
    <t xml:space="preserve">2 filas identicas: 2026-03-09 Juan Pérez Teclado Mecánico x2. Se conservan todas, puede ser venta legitima repetida</t>
  </si>
  <si>
    <t xml:space="preserve">2 filas identicas: 2026-03-09 María López Laptop Pro 14 x2. Se conservan todas, puede ser venta legitima repetida</t>
  </si>
  <si>
    <t xml:space="preserve">2 filas identicas: 2026-01-03 Sofía Martínez Teclado Mecánico x6. Se conservan todas, puede ser venta legitima repetida</t>
  </si>
  <si>
    <t xml:space="preserve">2 filas identicas: 2026-03-07 Ana Torres Teclado Mecánico x4. Se conservan todas, puede ser venta legitima repetida</t>
  </si>
  <si>
    <t xml:space="preserve">2 filas identicas: 2026-02-03 Ana Torres Teclado Mecánico x6. Se conservan todas, puede ser venta legitima repetida</t>
  </si>
  <si>
    <t xml:space="preserve">3 filas identicas: 2026-02-01 María López Mouse Inalámbrico x6. Se conservan todas, puede ser venta legitima repetida</t>
  </si>
  <si>
    <t xml:space="preserve">2 filas identicas: 2026-02-01 María López Mouse Inalámbrico x2. Se conservan todas, puede ser venta legitima repetida</t>
  </si>
  <si>
    <t xml:space="preserve">2 filas identicas: 2026-01-25 María López Teclado Mecánico x6. Se conservan todas, puede ser venta legitima repetida</t>
  </si>
  <si>
    <t xml:space="preserve">2 filas identicas: 2026-01-25 María López Teclado Mecánico x2. Se conservan todas, puede ser venta legitima repetida</t>
  </si>
  <si>
    <t xml:space="preserve">2 filas identicas: 2026-01-23 Juan Pérez Mouse Inalámbrico x4. Se conservan todas, puede ser venta legitima repetida</t>
  </si>
  <si>
    <t xml:space="preserve">3 filas identicas: 2026-01-23 Ana Torres Mouse Inalámbrico x6. Se conservan todas, puede ser venta legitima repetida</t>
  </si>
  <si>
    <t xml:space="preserve">4 filas identicas: 2026-01-21 Juan Pérez Mouse Inalámbrico x2. Se conservan todas, puede ser venta legitima repetida</t>
  </si>
  <si>
    <t xml:space="preserve">2 filas identicas: 2026-01-19 Juan Pérez Teclado Mecánico x4. Se conservan todas, puede ser venta legitima repetida</t>
  </si>
  <si>
    <t xml:space="preserve">2 filas identicas: 2026-01-15 Ana Torres Teclado Mecánico x6. Se conservan todas, puede ser venta legitima repetida</t>
  </si>
  <si>
    <t xml:space="preserve">2 filas identicas: 2026-01-15 Ana Torres Mouse Inalámbrico x2. Se conservan todas, puede ser venta legitima repetida</t>
  </si>
  <si>
    <t xml:space="preserve">2 filas identicas: 2026-01-13 Juan Pérez Teclado Mecánico x4. Se conservan todas, puede ser venta legitima repetida</t>
  </si>
  <si>
    <t xml:space="preserve">2 filas identicas: 2026-01-13 Ana Torres Teclado Mecánico x2. Se conservan todas, puede ser venta legitima repetida</t>
  </si>
  <si>
    <t xml:space="preserve">2 filas identicas: 2026-01-11 Carlos Ruiz Mouse Inalámbrico x4. Se conservan todas, puede ser venta legitima repetida</t>
  </si>
  <si>
    <t xml:space="preserve">2 filas identicas: 2026-01-11 Juan Pérez Teclado Mecánico x4. Se conservan todas, puede ser venta legitima repetida</t>
  </si>
  <si>
    <t xml:space="preserve">2 filas identicas: 2026-01-11 Ana Torres Teclado Mecánico x6. Se conservan todas, puede ser venta legitima repetida</t>
  </si>
  <si>
    <t xml:space="preserve">2 filas identicas: 2026-01-09 Carlos Ruiz Mouse Inalámbrico x6. Se conservan todas, puede ser venta legitima repetida</t>
  </si>
  <si>
    <t xml:space="preserve">2 filas identicas: 2026-01-09 María López Mouse Inalámbrico x6. Se conservan todas, puede ser venta legitima repetida</t>
  </si>
  <si>
    <t xml:space="preserve">3 filas identicas: 2026-01-09 Ana Torres Mouse Inalámbrico x2. Se conservan todas, puede ser venta legitima repetida</t>
  </si>
  <si>
    <t xml:space="preserve">2 filas identicas: 2026-01-07 Juan Pérez Teclado Mecánico x4. Se conservan todas, puede ser venta legitima repetida</t>
  </si>
  <si>
    <t xml:space="preserve">3 filas identicas: 2026-01-05 Juan Pérez Teclado Mecánico x2. Se conservan todas, puede ser venta legitima repetida</t>
  </si>
  <si>
    <t xml:space="preserve">2 filas identicas: 2026-01-05 Juan Pérez Mouse Inalámbrico x2. Se conservan todas, puede ser venta legitima repetida</t>
  </si>
  <si>
    <t xml:space="preserve">2 filas identicas: 2026-01-05 Ana Torres Teclado Mecánico x6. Se conservan todas, puede ser venta legitima repetida</t>
  </si>
  <si>
    <t xml:space="preserve">3 filas identicas: 2026-02-03 Carlos Ruiz Teclado Mecánico x4. Se conservan todas, puede ser venta legitima repetida</t>
  </si>
  <si>
    <t xml:space="preserve">2 filas identicas: 2026-02-03 Sofía Martínez Teclado Mecánico x2. Se conservan todas, puede ser venta legitima repetida</t>
  </si>
  <si>
    <t xml:space="preserve">2 filas identicas: 2026-02-04 Juan Pérez Webcam HD x1. Se conservan todas, puede ser venta legitima repetida</t>
  </si>
  <si>
    <t xml:space="preserve">2 filas identicas: 2026-02-19 Sofía Martínez Mouse Inalámbrico x4. Se conservan todas, puede ser venta legitima repetida</t>
  </si>
  <si>
    <t xml:space="preserve">2 filas identicas: 2026-03-05 Sofía Martínez Teclado Mecánico x2. Se conservan todas, puede ser venta legitima repetida</t>
  </si>
  <si>
    <t xml:space="preserve">2 filas identicas: 2026-03-05 Ana Torres Mouse Inalámbrico x2. Se conservan todas, puede ser venta legitima repetida</t>
  </si>
  <si>
    <t xml:space="preserve">2 filas identicas: 2026-03-03 Sofía Martínez Teclado Mecánico x2. Se conservan todas, puede ser venta legitima repetida</t>
  </si>
  <si>
    <t xml:space="preserve">2 filas identicas: 2026-03-03 Carlos Ruiz Laptop Pro 14 x2. Se conservan todas, puede ser venta legitima repetida</t>
  </si>
  <si>
    <t xml:space="preserve">2 filas identicas: 2026-03-01 Ana Torres Teclado Mecánico x6. Se conservan todas, puede ser venta legitima repetida</t>
  </si>
  <si>
    <t xml:space="preserve">2 filas identicas: 2026-02-28 Juan Pérez Monitor 27" x1. Se conservan todas, puede ser venta legitima repetida</t>
  </si>
  <si>
    <t xml:space="preserve">2 filas identicas: 2026-02-27 María López Mouse Inalámbrico x2. Se conservan todas, puede ser venta legitima repetida</t>
  </si>
  <si>
    <t xml:space="preserve">2 filas identicas: 2026-02-27 Ana Torres Mouse Inalámbrico x6. Se conservan todas, puede ser venta legitima repetida</t>
  </si>
  <si>
    <t xml:space="preserve">2 filas identicas: 2026-02-25 Sofía Martínez Teclado Mecánico x2. Se conservan todas, puede ser venta legitima repetida</t>
  </si>
  <si>
    <t xml:space="preserve">3 filas identicas: 2026-02-25 Ana Torres Mouse Inalámbrico x4. Se conservan todas, puede ser venta legitima repetida</t>
  </si>
  <si>
    <t xml:space="preserve">2 filas identicas: 2026-02-19 María López Mouse Inalámbrico x6. Se conservan todas, puede ser venta legitima repetida</t>
  </si>
  <si>
    <t xml:space="preserve">2 filas identicas: 2026-02-05 María López Mouse Inalámbrico x2. Se conservan todas, puede ser venta legitima repetida</t>
  </si>
  <si>
    <t xml:space="preserve">2 filas identicas: 2026-02-19 Ana Torres Mouse Inalámbrico x4. Se conservan todas, puede ser venta legitima repetida</t>
  </si>
  <si>
    <t xml:space="preserve">2 filas identicas: 2026-02-17 Sofía Martínez Mouse Inalámbrico x2. Se conservan todas, puede ser venta legitima repetida</t>
  </si>
  <si>
    <t xml:space="preserve">2 filas identicas: 2026-02-15 María López Teclado Mecánico x4. Se conservan todas, puede ser venta legitima repetida</t>
  </si>
  <si>
    <t xml:space="preserve">2 filas identicas: 2026-02-13 María López Teclado Mecánico x2. Se conservan todas, puede ser venta legitima repetida</t>
  </si>
  <si>
    <t xml:space="preserve">3 filas identicas: 2026-02-13 Ana Torres Teclado Mecánico x4. Se conservan todas, puede ser venta legitima repetida</t>
  </si>
  <si>
    <t xml:space="preserve">2 filas identicas: 2026-02-11 Sofía Martínez Teclado Mecánico x4. Se conservan todas, puede ser venta legitima repetida</t>
  </si>
  <si>
    <t xml:space="preserve">2 filas identicas: 2026-02-11 María López Mouse Inalámbrico x2. Se conservan todas, puede ser venta legitima repetida</t>
  </si>
  <si>
    <t xml:space="preserve">2 filas identicas: 2026-02-07 Ana Torres Teclado Mecánico x6. Se conservan todas, puede ser venta legitima repetida</t>
  </si>
  <si>
    <t xml:space="preserve">2 filas identicas: 2026-02-07 Ana Torres Mouse Inalámbrico x4. Se conservan todas, puede ser venta legitima repetida</t>
  </si>
  <si>
    <t xml:space="preserve">2 filas identicas: 2026-02-05 Carlos Ruiz Teclado Mecánico x2. Se conservan todas, puede ser venta legitima repetida</t>
  </si>
  <si>
    <t xml:space="preserve">2 filas identicas: 2026-03-01 Ana Torres Mouse Inalámbrico x6. Se conservan todas, puede ser venta legitima repetida</t>
  </si>
  <si>
    <t xml:space="preserve">BITACORA DE CONCILIACION</t>
  </si>
  <si>
    <t xml:space="preserve">Cada decision tomada sobre los datos, con el archivo de origen.</t>
  </si>
  <si>
    <t xml:space="preserve">Fase</t>
  </si>
  <si>
    <t xml:space="preserve">Accion</t>
  </si>
  <si>
    <t xml:space="preserve">Lectura</t>
  </si>
  <si>
    <t xml:space="preserve">Ventas_Enero_2026.csv</t>
  </si>
  <si>
    <t xml:space="preserve">Encoding</t>
  </si>
  <si>
    <t xml:space="preserve">Archivo no es UTF-8, se leyo como Latin-1</t>
  </si>
  <si>
    <t xml:space="preserve">Duplicados</t>
  </si>
  <si>
    <t xml:space="preserve">Ventas_Enero_2026.csv / ventas enero FINAL FINAL.xlsx</t>
  </si>
  <si>
    <t xml:space="preserve">Dos versiones del mismo mes</t>
  </si>
  <si>
    <t xml:space="preserve">CSV 180 filas, XLSX 181 filas. Coinciden 180 operaciones. Se toma el XLSX como primario (mas reciente y con importes completos); se recuperan del CSV las filas que no estan en el XLSX: 0</t>
  </si>
  <si>
    <t xml:space="preserve">Solo en primario</t>
  </si>
  <si>
    <t xml:space="preserve">1 operaciones existen solo en el XLSX</t>
  </si>
  <si>
    <t xml:space="preserve">Encabezados</t>
  </si>
  <si>
    <t xml:space="preserve">1-2</t>
  </si>
  <si>
    <t xml:space="preserve">Encabezado desplazado</t>
  </si>
  <si>
    <t xml:space="preserve">El encabezado real estaba en la fila 3 (arriba habia titulo)</t>
  </si>
  <si>
    <t xml:space="preserve">Ruido</t>
  </si>
  <si>
    <t xml:space="preserve">Fila descartada</t>
  </si>
  <si>
    <t xml:space="preserve">Fila de nota dentro de los datos: 'OJO: faltan 2 ventas de Luis por capturar'</t>
  </si>
  <si>
    <t xml:space="preserve">Estructura</t>
  </si>
  <si>
    <t xml:space="preserve">Hoja por sucursal</t>
  </si>
  <si>
    <t xml:space="preserve">Se apilo la hoja y se asigno Sucursal = CDMX a partir del nombre de la hoja</t>
  </si>
  <si>
    <t xml:space="preserve">Se apilo la hoja y se asigno Sucursal = GDL a partir del nombre de la hoja</t>
  </si>
  <si>
    <t xml:space="preserve">Se apilo la hoja y se asigno Sucursal = MTY a partir del nombre de la hoja</t>
  </si>
  <si>
    <t xml:space="preserve">Importes</t>
  </si>
  <si>
    <t xml:space="preserve">Importe calculado</t>
  </si>
  <si>
    <t xml:space="preserve">Importe vacio, se calculo 3.0 x 1,450</t>
  </si>
  <si>
    <t xml:space="preserve">Importe vacio, se calculo 6.0 x 6,200</t>
  </si>
  <si>
    <t xml:space="preserve">Fila de subtotal 'TOTAL PARCIAL' dentro de los datos</t>
  </si>
  <si>
    <t xml:space="preserve">Importe vacio, se calculo 5.0 x 24,500</t>
  </si>
  <si>
    <t xml:space="preserve">Importe vacio, se calculo 5.0 x 1,180</t>
  </si>
  <si>
    <t xml:space="preserve">Importe vacio, se calculo 4.0 x 6,200</t>
  </si>
  <si>
    <t xml:space="preserve">Catalogos</t>
  </si>
  <si>
    <t xml:space="preserve">Costos_Productos.csv</t>
  </si>
  <si>
    <t xml:space="preserve">Nombre de producto homologado</t>
  </si>
  <si>
    <t xml:space="preserve">'laptop pro 14' en el catalogo de costos se ligo con 'Laptop Pro 14' del maestro. Sin esto el margen de ese producto salia al 100%</t>
  </si>
  <si>
    <t xml:space="preserve">'MONITOR 27' en el catalogo de costos se ligo con 'Monitor 27"' del maestro. Sin esto el margen de ese producto salia al 100%</t>
  </si>
  <si>
    <t xml:space="preserve">'Teclado Mec.' en el catalogo de costos se ligo con 'Teclado Mecánico' del maestro. Sin esto el margen de ese producto salia al 100%</t>
  </si>
  <si>
    <t xml:space="preserve">'webcam hd' en el catalogo de costos se ligo con 'Webcam HD' del maestro. Sin esto el margen de ese producto salia al 100%</t>
  </si>
  <si>
    <t xml:space="preserve">'Mouse Inalambrico' en el catalogo de costos se ligo con 'Mouse Inalámbrico' del maestro. Sin esto el margen de ese producto salia al 100%</t>
  </si>
  <si>
    <t xml:space="preserve">DICCIONARIO DE EQUIVALENCIAS</t>
  </si>
  <si>
    <t xml:space="preserve">Cada variante de nombre encontrada en los archivos y el valor canonico al que se agrupo. Corrige aqui si algo quedo mal agrupado.</t>
  </si>
  <si>
    <t xml:space="preserve">Campo</t>
  </si>
  <si>
    <t xml:space="preserve">Valor_original</t>
  </si>
  <si>
    <t xml:space="preserve">Valor_canonico</t>
  </si>
  <si>
    <t xml:space="preserve">Metodo</t>
  </si>
  <si>
    <t xml:space="preserve">Confianza</t>
  </si>
  <si>
    <t xml:space="preserve">diccionario</t>
  </si>
  <si>
    <t xml:space="preserve">Alta</t>
  </si>
  <si>
    <t xml:space="preserve">JUAN PEREZ</t>
  </si>
  <si>
    <t xml:space="preserve">SOFIA MARTINEZ</t>
  </si>
  <si>
    <t xml:space="preserve">MARIA LOPEZ</t>
  </si>
  <si>
    <t xml:space="preserve">ANA TORRES</t>
  </si>
  <si>
    <t xml:space="preserve">CARLOS RUIZ</t>
  </si>
  <si>
    <t xml:space="preserve">Gdl</t>
  </si>
  <si>
    <t xml:space="preserve">juan pérez</t>
  </si>
  <si>
    <t xml:space="preserve">JUAN PÉREZ</t>
  </si>
  <si>
    <t xml:space="preserve">Mty</t>
  </si>
  <si>
    <t xml:space="preserve">SOFÍA MARTÍNEZ</t>
  </si>
  <si>
    <t xml:space="preserve">sofía martínez</t>
  </si>
  <si>
    <t xml:space="preserve">CDMX </t>
  </si>
  <si>
    <t xml:space="preserve">maría lópez</t>
  </si>
  <si>
    <t xml:space="preserve">MARÍA LÓPEZ</t>
  </si>
  <si>
    <t xml:space="preserve">ana torres</t>
  </si>
  <si>
    <t xml:space="preserve">carlos ruiz</t>
  </si>
  <si>
    <t xml:space="preserve">Laptop Pro 14 </t>
  </si>
  <si>
    <t xml:space="preserve">Guadalajra</t>
  </si>
  <si>
    <t xml:space="preserve">LAPTOPPRO14</t>
  </si>
  <si>
    <t xml:space="preserve">laptop pro 14</t>
  </si>
  <si>
    <t xml:space="preserve">teclado mecánico</t>
  </si>
  <si>
    <t xml:space="preserve">Teclado Mecánico </t>
  </si>
  <si>
    <t xml:space="preserve">TECLADOMECÁNICO</t>
  </si>
  <si>
    <t xml:space="preserve">mouse inalámbrico</t>
  </si>
  <si>
    <t xml:space="preserve">Mouse Inalámbrico </t>
  </si>
  <si>
    <t xml:space="preserve">MOUSEINALÁMBRICO</t>
  </si>
  <si>
    <t xml:space="preserve">monterrey</t>
  </si>
  <si>
    <t xml:space="preserve">Ciudad de Mexico</t>
  </si>
  <si>
    <t xml:space="preserve">Cdmx</t>
  </si>
  <si>
    <t xml:space="preserve">LAPTOP PRO 14</t>
  </si>
  <si>
    <t xml:space="preserve">Sofía Martinez</t>
  </si>
  <si>
    <t xml:space="preserve">WEBCAM HD</t>
  </si>
  <si>
    <t xml:space="preserve">Juan Perez</t>
  </si>
  <si>
    <t xml:space="preserve">webcam hd</t>
  </si>
  <si>
    <t xml:space="preserve">monitor 27</t>
  </si>
  <si>
    <t xml:space="preserve">Carlos Ruíz</t>
  </si>
  <si>
    <t xml:space="preserve">Maria Lopez</t>
  </si>
  <si>
    <t xml:space="preserve">sofia martinez</t>
  </si>
  <si>
    <t xml:space="preserve">LUIS GOMEZ</t>
  </si>
  <si>
    <t xml:space="preserve">Monitor 27 pulgadas</t>
  </si>
  <si>
    <t xml:space="preserve">mouse inalambrico</t>
  </si>
  <si>
    <t xml:space="preserve">Luis Gomez</t>
  </si>
  <si>
    <t xml:space="preserve">Teclado Mec.</t>
  </si>
  <si>
    <t xml:space="preserve">maria lopez</t>
  </si>
  <si>
    <t xml:space="preserve">Mouse Inal.</t>
  </si>
  <si>
    <t xml:space="preserve">Ana Torres </t>
  </si>
  <si>
    <t xml:space="preserve">Laptop Pro14 </t>
  </si>
  <si>
    <t xml:space="preserve">María López </t>
  </si>
  <si>
    <t xml:space="preserve">carlos ruiz </t>
  </si>
  <si>
    <t xml:space="preserve">teclado mecanico</t>
  </si>
  <si>
    <t xml:space="preserve">laptop pro14</t>
  </si>
  <si>
    <t xml:space="preserve">Proveedor</t>
  </si>
  <si>
    <t xml:space="preserve">Precio_Enero</t>
  </si>
  <si>
    <t xml:space="preserve">Precio_Febrero</t>
  </si>
  <si>
    <t xml:space="preserve">Precio_Marzo</t>
  </si>
  <si>
    <t xml:space="preserve">Precio_Abril</t>
  </si>
  <si>
    <t xml:space="preserve">Precio_Mayo</t>
  </si>
  <si>
    <t xml:space="preserve">Notas</t>
  </si>
  <si>
    <t xml:space="preserve">Mayorista TecnoImport</t>
  </si>
  <si>
    <t xml:space="preserve">Subió en marzo por tipo de cambio</t>
  </si>
  <si>
    <t xml:space="preserve">OJO: abril se facturó a 6200, no 6300</t>
  </si>
  <si>
    <t xml:space="preserve">Perifericos MX</t>
  </si>
  <si>
    <t xml:space="preserve">Meta_Mensual</t>
  </si>
  <si>
    <t xml:space="preserve">Pct_Comision</t>
  </si>
  <si>
    <t xml:space="preserve">Ventas_Ene_registro</t>
  </si>
  <si>
    <t xml:space="preserve">Ventas_Feb_registro</t>
  </si>
  <si>
    <t xml:space="preserve">Ventas_Mar_registro</t>
  </si>
  <si>
    <t xml:space="preserve">Ventas_Abr_registro</t>
  </si>
  <si>
    <t xml:space="preserve">Ventas_May_registro</t>
  </si>
  <si>
    <t xml:space="preserve">Renta</t>
  </si>
  <si>
    <t xml:space="preserve">Nomina</t>
  </si>
  <si>
    <t xml:space="preserve">Servicios</t>
  </si>
  <si>
    <t xml:space="preserve">Otros</t>
  </si>
  <si>
    <t xml:space="preserve">Total_Gasto</t>
  </si>
  <si>
    <t xml:space="preserve">Zona</t>
  </si>
  <si>
    <t xml:space="preserve">Vendedor asignado</t>
  </si>
  <si>
    <t xml:space="preserve">Contacto</t>
  </si>
  <si>
    <t xml:space="preserve">Teléfono</t>
  </si>
  <si>
    <t xml:space="preserve">Límite crédito</t>
  </si>
  <si>
    <t xml:space="preserve">Días crédito</t>
  </si>
  <si>
    <t xml:space="preserve">Laura Fentanes</t>
  </si>
  <si>
    <t xml:space="preserve">55-1234-5601</t>
  </si>
  <si>
    <t xml:space="preserve">Roberto Salinas</t>
  </si>
  <si>
    <t xml:space="preserve">33-2345-6702</t>
  </si>
  <si>
    <t xml:space="preserve">Miguel Ángel Ruiz</t>
  </si>
  <si>
    <t xml:space="preserve">55-3456-7803</t>
  </si>
  <si>
    <t xml:space="preserve">José Pérez</t>
  </si>
  <si>
    <t xml:space="preserve">81-4567-8904</t>
  </si>
  <si>
    <t xml:space="preserve">Sandra Andrade</t>
  </si>
  <si>
    <t xml:space="preserve">33-5678-9005</t>
  </si>
  <si>
    <t xml:space="preserve">Iván Vega</t>
  </si>
  <si>
    <t xml:space="preserve">33-6789-0106</t>
  </si>
  <si>
    <t xml:space="preserve">Hugo Cantú</t>
  </si>
  <si>
    <t xml:space="preserve">81-7890-1207</t>
  </si>
  <si>
    <t xml:space="preserve">Patricia Roble</t>
  </si>
  <si>
    <t xml:space="preserve">55-8901-2308</t>
  </si>
  <si>
    <t xml:space="preserve">Aurora Méndez</t>
  </si>
  <si>
    <t xml:space="preserve">81-9012-3409</t>
  </si>
  <si>
    <t xml:space="preserve">Don Chucho</t>
  </si>
  <si>
    <t xml:space="preserve">55-0123-4510</t>
  </si>
  <si>
    <t xml:space="preserve">Ramón López</t>
  </si>
  <si>
    <t xml:space="preserve">33-1234-5611</t>
  </si>
  <si>
    <t xml:space="preserve">Gabriela Sосa</t>
  </si>
  <si>
    <t xml:space="preserve">81-2345-6712</t>
  </si>
  <si>
    <t xml:space="preserve">Dr. Núñez</t>
  </si>
  <si>
    <t xml:space="preserve">55-3456-7813</t>
  </si>
  <si>
    <t xml:space="preserve">Tecno Soluciones</t>
  </si>
  <si>
    <t xml:space="preserve">Erik Tapia</t>
  </si>
  <si>
    <t xml:space="preserve">33-4567-8914</t>
  </si>
  <si>
    <t xml:space="preserve">Claudia Ibarra</t>
  </si>
  <si>
    <t xml:space="preserve">81-5678-9015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</si>
</sst>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%"/>
    <numFmt numFmtId="168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1"/>
      <color rgb="FF475467"/>
      <name val="Arial"/>
      <family val="0"/>
      <charset val="1"/>
    </font>
    <font>
      <sz val="10"/>
      <color rgb="FF10182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01828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i val="true"/>
      <sz val="10"/>
      <color rgb="FF47546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9"/>
      <color rgb="FF475467"/>
      <name val="Arial"/>
      <family val="0"/>
      <charset val="1"/>
    </font>
    <font>
      <b val="true"/>
      <sz val="15"/>
      <color rgb="FF1F3A5F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B54708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1F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3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F3A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1F3A5F"/>
      <rgbColor rgb="FF339966"/>
      <rgbColor rgb="FF101828"/>
      <rgbColor rgb="FF333300"/>
      <rgbColor rgb="FFB5470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Datos" displayName="tblDatos" ref="A1:T887" headerRowCount="1" totalsRowCount="0" totalsRowShown="0">
  <autoFilter ref="A1:T887"/>
  <tableColumns count="20">
    <tableColumn id="1" name="Fecha"/>
    <tableColumn id="2" name="Anio"/>
    <tableColumn id="3" name="Mes"/>
    <tableColumn id="4" name="Mes_Nombre"/>
    <tableColumn id="5" name="Sucursal"/>
    <tableColumn id="6" name="Vendedor"/>
    <tableColumn id="7" name="Producto"/>
    <tableColumn id="8" name="Cantidad"/>
    <tableColumn id="9" name="Precio_Unitario"/>
    <tableColumn id="10" name="Importe"/>
    <tableColumn id="11" name="Importe_Calculado"/>
    <tableColumn id="12" name="Costo_Unitario"/>
    <tableColumn id="13" name="Costo_Total"/>
    <tableColumn id="14" name="Margen"/>
    <tableColumn id="15" name="Margen_%"/>
    <tableColumn id="16" name="Obs_Origen"/>
    <tableColumn id="17" name="Archivo_Origen"/>
    <tableColumn id="18" name="Hoja_Origen"/>
    <tableColumn id="19" name="Fila_Origen"/>
    <tableColumn id="20" name="Bander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7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n">
        <v>886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5"/>
      <c r="C10" s="4"/>
    </row>
    <row r="11" customFormat="false" ht="15" hidden="false" customHeight="false" outlineLevel="0" collapsed="false">
      <c r="B11" s="6" t="s">
        <v>11</v>
      </c>
      <c r="C11" s="4"/>
    </row>
    <row r="12" customFormat="false" ht="15" hidden="false" customHeight="false" outlineLevel="0" collapsed="false">
      <c r="B12" s="3" t="s">
        <v>12</v>
      </c>
      <c r="C12" s="4" t="s">
        <v>13</v>
      </c>
    </row>
    <row r="13" customFormat="false" ht="15" hidden="false" customHeight="false" outlineLevel="0" collapsed="false">
      <c r="B13" s="3" t="s">
        <v>14</v>
      </c>
      <c r="C13" s="4" t="s">
        <v>15</v>
      </c>
    </row>
    <row r="14" customFormat="false" ht="15" hidden="false" customHeight="false" outlineLevel="0" collapsed="false">
      <c r="B14" s="3" t="s">
        <v>16</v>
      </c>
      <c r="C14" s="4" t="s">
        <v>17</v>
      </c>
    </row>
    <row r="15" customFormat="false" ht="15" hidden="false" customHeight="false" outlineLevel="0" collapsed="false">
      <c r="B15" s="3" t="s">
        <v>18</v>
      </c>
      <c r="C15" s="4" t="s">
        <v>19</v>
      </c>
    </row>
    <row r="16" customFormat="false" ht="15" hidden="false" customHeight="false" outlineLevel="0" collapsed="false">
      <c r="B16" s="3" t="s">
        <v>20</v>
      </c>
      <c r="C16" s="4" t="s">
        <v>21</v>
      </c>
    </row>
    <row r="17" customFormat="false" ht="15" hidden="false" customHeight="false" outlineLevel="0" collapsed="false">
      <c r="B17" s="3" t="s">
        <v>22</v>
      </c>
      <c r="C17" s="4" t="s">
        <v>23</v>
      </c>
    </row>
    <row r="18" customFormat="false" ht="15" hidden="false" customHeight="false" outlineLevel="0" collapsed="false">
      <c r="B18" s="3" t="s">
        <v>24</v>
      </c>
      <c r="C18" s="4" t="s">
        <v>25</v>
      </c>
    </row>
    <row r="19" customFormat="false" ht="15" hidden="false" customHeight="false" outlineLevel="0" collapsed="false">
      <c r="B19" s="3" t="s">
        <v>26</v>
      </c>
      <c r="C19" s="4" t="s">
        <v>27</v>
      </c>
    </row>
    <row r="20" customFormat="false" ht="15" hidden="false" customHeight="false" outlineLevel="0" collapsed="false">
      <c r="B20" s="3" t="s">
        <v>28</v>
      </c>
      <c r="C20" s="4" t="s">
        <v>29</v>
      </c>
    </row>
    <row r="21" customFormat="false" ht="15" hidden="false" customHeight="false" outlineLevel="0" collapsed="false">
      <c r="B21" s="5"/>
      <c r="C21" s="4"/>
    </row>
    <row r="22" customFormat="false" ht="15" hidden="false" customHeight="false" outlineLevel="0" collapsed="false">
      <c r="B22" s="6" t="s">
        <v>30</v>
      </c>
      <c r="C22" s="4" t="s">
        <v>31</v>
      </c>
    </row>
    <row r="23" customFormat="false" ht="15" hidden="false" customHeight="false" outlineLevel="0" collapsed="false">
      <c r="B23" s="6" t="s">
        <v>32</v>
      </c>
      <c r="C23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64"/>
  </cols>
  <sheetData>
    <row r="2" customFormat="false" ht="19.7" hidden="false" customHeight="false" outlineLevel="0" collapsed="false">
      <c r="B2" s="1" t="s">
        <v>34</v>
      </c>
    </row>
    <row r="3" customFormat="false" ht="15" hidden="false" customHeight="false" outlineLevel="0" collapsed="false">
      <c r="B3" s="7" t="s">
        <v>35</v>
      </c>
    </row>
    <row r="5" customFormat="false" ht="15" hidden="false" customHeight="false" outlineLevel="0" collapsed="false">
      <c r="B5" s="8" t="s">
        <v>36</v>
      </c>
      <c r="C5" s="9" t="n">
        <f aca="false">Analisis!B11</f>
        <v>13235390</v>
      </c>
      <c r="D5" s="10" t="s">
        <v>37</v>
      </c>
    </row>
    <row r="6" customFormat="false" ht="15" hidden="false" customHeight="false" outlineLevel="0" collapsed="false">
      <c r="B6" s="8" t="s">
        <v>38</v>
      </c>
      <c r="C6" s="11" t="n">
        <f aca="false">Analisis!C11</f>
        <v>886</v>
      </c>
      <c r="D6" s="10" t="s">
        <v>39</v>
      </c>
    </row>
    <row r="7" customFormat="false" ht="15" hidden="false" customHeight="false" outlineLevel="0" collapsed="false">
      <c r="B7" s="8" t="s">
        <v>40</v>
      </c>
      <c r="C7" s="11" t="n">
        <f aca="false">Analisis!D11</f>
        <v>3272</v>
      </c>
      <c r="D7" s="10"/>
    </row>
    <row r="8" customFormat="false" ht="15" hidden="false" customHeight="false" outlineLevel="0" collapsed="false">
      <c r="B8" s="8" t="s">
        <v>41</v>
      </c>
      <c r="C8" s="9" t="n">
        <f aca="false">IFERROR(C5/C6,0)</f>
        <v>14938.3634311512</v>
      </c>
      <c r="D8" s="10" t="s">
        <v>42</v>
      </c>
    </row>
    <row r="9" customFormat="false" ht="15" hidden="false" customHeight="false" outlineLevel="0" collapsed="false">
      <c r="B9" s="8" t="s">
        <v>43</v>
      </c>
      <c r="C9" s="9" t="n">
        <f aca="false">Analisis!F11</f>
        <v>3673140</v>
      </c>
      <c r="D9" s="10" t="s">
        <v>44</v>
      </c>
    </row>
    <row r="10" customFormat="false" ht="15" hidden="false" customHeight="false" outlineLevel="0" collapsed="false">
      <c r="B10" s="8" t="s">
        <v>45</v>
      </c>
      <c r="C10" s="12" t="n">
        <f aca="false">IFERROR(C9/C5,0)</f>
        <v>0.277524122825244</v>
      </c>
      <c r="D10" s="10"/>
    </row>
    <row r="11" customFormat="false" ht="15" hidden="false" customHeight="false" outlineLevel="0" collapsed="false">
      <c r="B11" s="8" t="s">
        <v>46</v>
      </c>
      <c r="C11" s="9" t="n">
        <f aca="false">SUM(Cat_Gastos!$G$2:$G$16)</f>
        <v>3388145</v>
      </c>
      <c r="D11" s="10" t="s">
        <v>47</v>
      </c>
    </row>
    <row r="12" customFormat="false" ht="15" hidden="false" customHeight="false" outlineLevel="0" collapsed="false">
      <c r="B12" s="8" t="s">
        <v>48</v>
      </c>
      <c r="C12" s="9" t="n">
        <f aca="false">C9-C11</f>
        <v>284995</v>
      </c>
      <c r="D12" s="10" t="s">
        <v>49</v>
      </c>
    </row>
    <row r="13" customFormat="false" ht="15" hidden="false" customHeight="false" outlineLevel="0" collapsed="false">
      <c r="B13" s="8" t="s">
        <v>50</v>
      </c>
      <c r="C13" s="9" t="n">
        <f aca="false">Analisis!B10</f>
        <v>2848860</v>
      </c>
      <c r="D13" s="10"/>
    </row>
    <row r="14" customFormat="false" ht="15" hidden="false" customHeight="false" outlineLevel="0" collapsed="false">
      <c r="B14" s="8" t="s">
        <v>51</v>
      </c>
      <c r="C14" s="12" t="n">
        <f aca="false">Analisis!H10</f>
        <v>-0.0760444065344935</v>
      </c>
      <c r="D14" s="10" t="s">
        <v>52</v>
      </c>
    </row>
    <row r="15" customFormat="false" ht="15" hidden="false" customHeight="false" outlineLevel="0" collapsed="false">
      <c r="B15" s="8" t="s">
        <v>53</v>
      </c>
      <c r="C15" s="12" t="n">
        <f aca="false">IFERROR(Analisis!F29/Analisis!G29,0)</f>
        <v>1.88666225165563</v>
      </c>
      <c r="D15" s="10" t="s">
        <v>54</v>
      </c>
    </row>
    <row r="16" customFormat="false" ht="15" hidden="false" customHeight="false" outlineLevel="0" collapsed="false">
      <c r="B16" s="8" t="s">
        <v>55</v>
      </c>
      <c r="C16" s="9" t="n">
        <f aca="false">Analisis!J29</f>
        <v>115009.75</v>
      </c>
      <c r="D16" s="10" t="s">
        <v>56</v>
      </c>
    </row>
    <row r="17" customFormat="false" ht="15" hidden="false" customHeight="false" outlineLevel="0" collapsed="false">
      <c r="B17" s="8" t="s">
        <v>57</v>
      </c>
      <c r="C17" s="9" t="n">
        <f aca="false">Analisis!C51</f>
        <v>1813900</v>
      </c>
      <c r="D17" s="10" t="s">
        <v>58</v>
      </c>
    </row>
    <row r="18" customFormat="false" ht="15" hidden="false" customHeight="false" outlineLevel="0" collapsed="false">
      <c r="B18" s="8" t="s">
        <v>59</v>
      </c>
      <c r="C18" s="9" t="n">
        <f aca="false">SUM(Analisis!C46:C49)</f>
        <v>446100</v>
      </c>
      <c r="D18" s="10" t="s">
        <v>60</v>
      </c>
    </row>
    <row r="19" customFormat="false" ht="15" hidden="false" customHeight="false" outlineLevel="0" collapsed="false">
      <c r="B19" s="8" t="s">
        <v>61</v>
      </c>
      <c r="C19" s="12" t="n">
        <f aca="false">IFERROR(C18/C17,0)</f>
        <v>0.245934174982083</v>
      </c>
      <c r="D19" s="10"/>
    </row>
    <row r="20" customFormat="false" ht="15" hidden="false" customHeight="false" outlineLevel="0" collapsed="false">
      <c r="B20" s="8" t="s">
        <v>62</v>
      </c>
      <c r="C20" s="11" t="n">
        <v>5</v>
      </c>
      <c r="D20" s="10" t="s">
        <v>63</v>
      </c>
    </row>
    <row r="21" customFormat="false" ht="15" hidden="false" customHeight="false" outlineLevel="0" collapsed="false">
      <c r="B21" s="8" t="s">
        <v>64</v>
      </c>
      <c r="C21" s="9" t="n">
        <f aca="false">SUM(Validacion!E4:E10)</f>
        <v>-1500</v>
      </c>
      <c r="D21" s="10" t="s">
        <v>65</v>
      </c>
    </row>
    <row r="23" customFormat="false" ht="15" hidden="false" customHeight="false" outlineLevel="0" collapsed="false">
      <c r="B23" s="13" t="s">
        <v>66</v>
      </c>
    </row>
    <row r="24" customFormat="false" ht="15" hidden="false" customHeight="false" outlineLevel="0" collapsed="false">
      <c r="B24" s="14" t="s">
        <v>67</v>
      </c>
      <c r="C24" s="14"/>
      <c r="D24" s="14"/>
    </row>
    <row r="25" customFormat="false" ht="15" hidden="false" customHeight="false" outlineLevel="0" collapsed="false">
      <c r="B25" s="14" t="s">
        <v>68</v>
      </c>
      <c r="C25" s="14"/>
      <c r="D25" s="14"/>
    </row>
    <row r="26" customFormat="false" ht="15" hidden="false" customHeight="false" outlineLevel="0" collapsed="false">
      <c r="B26" s="14" t="s">
        <v>69</v>
      </c>
      <c r="C26" s="14"/>
      <c r="D26" s="14"/>
    </row>
    <row r="27" customFormat="false" ht="15" hidden="false" customHeight="false" outlineLevel="0" collapsed="false">
      <c r="B27" s="14" t="s">
        <v>70</v>
      </c>
      <c r="C27" s="14"/>
      <c r="D27" s="14"/>
    </row>
    <row r="28" customFormat="false" ht="15" hidden="false" customHeight="false" outlineLevel="0" collapsed="false">
      <c r="B28" s="14" t="s">
        <v>71</v>
      </c>
      <c r="C28" s="14"/>
      <c r="D28" s="14"/>
    </row>
  </sheetData>
  <mergeCells count="5">
    <mergeCell ref="B24:D24"/>
    <mergeCell ref="B25:D25"/>
    <mergeCell ref="B26:D26"/>
    <mergeCell ref="B27:D27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18.55" hidden="false" customHeight="false" outlineLevel="0" collapsed="false">
      <c r="A1" s="15" t="s">
        <v>72</v>
      </c>
    </row>
    <row r="2" customFormat="false" ht="15" hidden="false" customHeight="false" outlineLevel="0" collapsed="false">
      <c r="A2" s="16" t="s">
        <v>73</v>
      </c>
    </row>
    <row r="4" customFormat="false" ht="15" hidden="false" customHeight="false" outlineLevel="0" collapsed="false">
      <c r="A4" s="13" t="s">
        <v>74</v>
      </c>
    </row>
    <row r="5" customFormat="false" ht="23.85" hidden="false" customHeight="false" outlineLevel="0" collapsed="false">
      <c r="A5" s="17" t="s">
        <v>75</v>
      </c>
      <c r="B5" s="17" t="s">
        <v>76</v>
      </c>
      <c r="C5" s="17" t="s">
        <v>38</v>
      </c>
      <c r="D5" s="17" t="s">
        <v>77</v>
      </c>
      <c r="E5" s="17" t="s">
        <v>41</v>
      </c>
      <c r="F5" s="17" t="s">
        <v>43</v>
      </c>
      <c r="G5" s="17" t="s">
        <v>78</v>
      </c>
      <c r="H5" s="17" t="s">
        <v>79</v>
      </c>
    </row>
    <row r="6" customFormat="false" ht="15" hidden="false" customHeight="false" outlineLevel="0" collapsed="false">
      <c r="A6" s="4" t="s">
        <v>80</v>
      </c>
      <c r="B6" s="18" t="n">
        <f aca="false">SUMIFS(Datos!$J$2:$J$887,Datos!$D$2:$D$887,$A6)</f>
        <v>2137680</v>
      </c>
      <c r="C6" s="19" t="n">
        <f aca="false">COUNTIFS(Datos!$D$2:$D$887,$A6)</f>
        <v>181</v>
      </c>
      <c r="D6" s="19" t="n">
        <f aca="false">SUMIFS(Datos!$H$2:$H$887,Datos!$D$2:$D$887,$A6)</f>
        <v>688</v>
      </c>
      <c r="E6" s="18" t="n">
        <f aca="false">IFERROR(B6/C6,0)</f>
        <v>11810.3867403315</v>
      </c>
      <c r="F6" s="18" t="n">
        <f aca="false">SUMIFS(Datos!$N$2:$N$887,Datos!$D$2:$D$887,$A6)</f>
        <v>609920</v>
      </c>
      <c r="G6" s="20" t="n">
        <f aca="false">IFERROR(F6/B6,0)</f>
        <v>0.285318663223682</v>
      </c>
      <c r="H6" s="20"/>
    </row>
    <row r="7" customFormat="false" ht="15" hidden="false" customHeight="false" outlineLevel="0" collapsed="false">
      <c r="A7" s="4" t="s">
        <v>81</v>
      </c>
      <c r="B7" s="18" t="n">
        <f aca="false">SUMIFS(Datos!$J$2:$J$887,Datos!$D$2:$D$887,$A7)</f>
        <v>2415260</v>
      </c>
      <c r="C7" s="19" t="n">
        <f aca="false">COUNTIFS(Datos!$D$2:$D$887,$A7)</f>
        <v>174</v>
      </c>
      <c r="D7" s="19" t="n">
        <f aca="false">SUMIFS(Datos!$H$2:$H$887,Datos!$D$2:$D$887,$A7)</f>
        <v>630</v>
      </c>
      <c r="E7" s="18" t="n">
        <f aca="false">IFERROR(B7/C7,0)</f>
        <v>13880.8045977012</v>
      </c>
      <c r="F7" s="18" t="n">
        <f aca="false">SUMIFS(Datos!$N$2:$N$887,Datos!$D$2:$D$887,$A7)</f>
        <v>648100</v>
      </c>
      <c r="G7" s="20" t="n">
        <f aca="false">IFERROR(F7/B7,0)</f>
        <v>0.268335500111789</v>
      </c>
      <c r="H7" s="20" t="n">
        <f aca="false">IFERROR(B7/B6-1,0)</f>
        <v>0.129851053478538</v>
      </c>
    </row>
    <row r="8" customFormat="false" ht="15" hidden="false" customHeight="false" outlineLevel="0" collapsed="false">
      <c r="A8" s="4" t="s">
        <v>82</v>
      </c>
      <c r="B8" s="18" t="n">
        <f aca="false">SUMIFS(Datos!$J$2:$J$887,Datos!$D$2:$D$887,$A8)</f>
        <v>2750260</v>
      </c>
      <c r="C8" s="19" t="n">
        <f aca="false">COUNTIFS(Datos!$D$2:$D$887,$A8)</f>
        <v>224</v>
      </c>
      <c r="D8" s="19" t="n">
        <f aca="false">SUMIFS(Datos!$H$2:$H$887,Datos!$D$2:$D$887,$A8)</f>
        <v>863</v>
      </c>
      <c r="E8" s="18" t="n">
        <f aca="false">IFERROR(B8/C8,0)</f>
        <v>12277.9464285714</v>
      </c>
      <c r="F8" s="18" t="n">
        <f aca="false">SUMIFS(Datos!$N$2:$N$887,Datos!$D$2:$D$887,$A8)</f>
        <v>812060</v>
      </c>
      <c r="G8" s="20" t="n">
        <f aca="false">IFERROR(F8/B8,0)</f>
        <v>0.295266629336863</v>
      </c>
      <c r="H8" s="20" t="n">
        <f aca="false">IFERROR(B8/B7-1,0)</f>
        <v>0.138701423449235</v>
      </c>
    </row>
    <row r="9" customFormat="false" ht="15" hidden="false" customHeight="false" outlineLevel="0" collapsed="false">
      <c r="A9" s="4" t="s">
        <v>83</v>
      </c>
      <c r="B9" s="18" t="n">
        <f aca="false">SUMIFS(Datos!$J$2:$J$887,Datos!$D$2:$D$887,$A9)</f>
        <v>3083330</v>
      </c>
      <c r="C9" s="19" t="n">
        <f aca="false">COUNTIFS(Datos!$D$2:$D$887,$A9)</f>
        <v>187</v>
      </c>
      <c r="D9" s="19" t="n">
        <f aca="false">SUMIFS(Datos!$H$2:$H$887,Datos!$D$2:$D$887,$A9)</f>
        <v>679</v>
      </c>
      <c r="E9" s="18" t="n">
        <f aca="false">IFERROR(B9/C9,0)</f>
        <v>16488.3957219251</v>
      </c>
      <c r="F9" s="18" t="n">
        <f aca="false">SUMIFS(Datos!$N$2:$N$887,Datos!$D$2:$D$887,$A9)</f>
        <v>855180</v>
      </c>
      <c r="G9" s="20" t="n">
        <f aca="false">IFERROR(F9/B9,0)</f>
        <v>0.277355975519974</v>
      </c>
      <c r="H9" s="20" t="n">
        <f aca="false">IFERROR(B9/B8-1,0)</f>
        <v>0.121104913717249</v>
      </c>
    </row>
    <row r="10" customFormat="false" ht="15" hidden="false" customHeight="false" outlineLevel="0" collapsed="false">
      <c r="A10" s="4" t="s">
        <v>84</v>
      </c>
      <c r="B10" s="18" t="n">
        <f aca="false">SUMIFS(Datos!$J$2:$J$887,Datos!$D$2:$D$887,$A10)</f>
        <v>2848860</v>
      </c>
      <c r="C10" s="19" t="n">
        <f aca="false">COUNTIFS(Datos!$D$2:$D$887,$A10)</f>
        <v>120</v>
      </c>
      <c r="D10" s="19" t="n">
        <f aca="false">SUMIFS(Datos!$H$2:$H$887,Datos!$D$2:$D$887,$A10)</f>
        <v>412</v>
      </c>
      <c r="E10" s="18" t="n">
        <f aca="false">IFERROR(B10/C10,0)</f>
        <v>23740.5</v>
      </c>
      <c r="F10" s="18" t="n">
        <f aca="false">SUMIFS(Datos!$N$2:$N$887,Datos!$D$2:$D$887,$A10)</f>
        <v>747880</v>
      </c>
      <c r="G10" s="20" t="n">
        <f aca="false">IFERROR(F10/B10,0)</f>
        <v>0.262519042704801</v>
      </c>
      <c r="H10" s="20" t="n">
        <f aca="false">IFERROR(B10/B9-1,0)</f>
        <v>-0.0760444065344935</v>
      </c>
    </row>
    <row r="11" customFormat="false" ht="15" hidden="false" customHeight="false" outlineLevel="0" collapsed="false">
      <c r="A11" s="21" t="s">
        <v>85</v>
      </c>
      <c r="B11" s="22" t="n">
        <f aca="false">SUM(B6:B10)</f>
        <v>13235390</v>
      </c>
      <c r="C11" s="23" t="n">
        <f aca="false">SUM(C6:C10)</f>
        <v>886</v>
      </c>
      <c r="D11" s="23" t="n">
        <f aca="false">SUM(D6:D10)</f>
        <v>3272</v>
      </c>
      <c r="E11" s="22" t="n">
        <f aca="false">IFERROR(B11/C11,0)</f>
        <v>14938.3634311512</v>
      </c>
      <c r="F11" s="22" t="n">
        <f aca="false">SUM(F6:F10)</f>
        <v>3673140</v>
      </c>
      <c r="G11" s="24" t="n">
        <f aca="false">IFERROR(F11/B11,0)</f>
        <v>0.277524122825244</v>
      </c>
      <c r="H11" s="21"/>
    </row>
    <row r="13" customFormat="false" ht="15" hidden="false" customHeight="false" outlineLevel="0" collapsed="false">
      <c r="A13" s="13" t="s">
        <v>86</v>
      </c>
    </row>
    <row r="14" customFormat="false" ht="23.85" hidden="false" customHeight="false" outlineLevel="0" collapsed="false">
      <c r="A14" s="17" t="s">
        <v>87</v>
      </c>
      <c r="B14" s="17" t="s">
        <v>80</v>
      </c>
      <c r="C14" s="17" t="s">
        <v>81</v>
      </c>
      <c r="D14" s="17" t="s">
        <v>82</v>
      </c>
      <c r="E14" s="17" t="s">
        <v>83</v>
      </c>
      <c r="F14" s="17" t="s">
        <v>84</v>
      </c>
      <c r="G14" s="17" t="s">
        <v>88</v>
      </c>
      <c r="H14" s="17" t="s">
        <v>89</v>
      </c>
      <c r="I14" s="17" t="s">
        <v>43</v>
      </c>
      <c r="J14" s="17" t="s">
        <v>48</v>
      </c>
      <c r="K14" s="17" t="s">
        <v>90</v>
      </c>
    </row>
    <row r="15" customFormat="false" ht="15" hidden="false" customHeight="false" outlineLevel="0" collapsed="false">
      <c r="A15" s="4" t="s">
        <v>91</v>
      </c>
      <c r="B15" s="18" t="n">
        <f aca="false">SUMIFS(Datos!$J$2:$J$887,Datos!$E$2:$E$887,$A15,Datos!$D$2:$D$887,B$14)</f>
        <v>993780</v>
      </c>
      <c r="C15" s="18" t="n">
        <f aca="false">SUMIFS(Datos!$J$2:$J$887,Datos!$E$2:$E$887,$A15,Datos!$D$2:$D$887,C$14)</f>
        <v>1109870</v>
      </c>
      <c r="D15" s="18" t="n">
        <f aca="false">SUMIFS(Datos!$J$2:$J$887,Datos!$E$2:$E$887,$A15,Datos!$D$2:$D$887,D$14)</f>
        <v>1165650</v>
      </c>
      <c r="E15" s="18" t="n">
        <f aca="false">SUMIFS(Datos!$J$2:$J$887,Datos!$E$2:$E$887,$A15,Datos!$D$2:$D$887,E$14)</f>
        <v>1283740</v>
      </c>
      <c r="F15" s="18" t="n">
        <f aca="false">SUMIFS(Datos!$J$2:$J$887,Datos!$E$2:$E$887,$A15,Datos!$D$2:$D$887,F$14)</f>
        <v>1106280</v>
      </c>
      <c r="G15" s="18" t="n">
        <f aca="false">SUM(B15:F15)</f>
        <v>5659320</v>
      </c>
      <c r="H15" s="18" t="n">
        <f aca="false">SUMIFS(Cat_Gastos!$G$2:$G$16,Cat_Gastos!$A$2:$A$16,$A15)</f>
        <v>1346032</v>
      </c>
      <c r="I15" s="18" t="n">
        <f aca="false">SUMIFS(Datos!$N$2:$N$887,Datos!$E$2:$E$887,$A15)</f>
        <v>1608930</v>
      </c>
      <c r="J15" s="18" t="n">
        <f aca="false">I15-H15</f>
        <v>262898</v>
      </c>
      <c r="K15" s="20" t="n">
        <f aca="false">IFERROR(J15/G15,0)</f>
        <v>0.0464539909388407</v>
      </c>
    </row>
    <row r="16" customFormat="false" ht="15" hidden="false" customHeight="false" outlineLevel="0" collapsed="false">
      <c r="A16" s="4" t="s">
        <v>92</v>
      </c>
      <c r="B16" s="18" t="n">
        <f aca="false">SUMIFS(Datos!$J$2:$J$887,Datos!$E$2:$E$887,$A16,Datos!$D$2:$D$887,B$14)</f>
        <v>523980</v>
      </c>
      <c r="C16" s="18" t="n">
        <f aca="false">SUMIFS(Datos!$J$2:$J$887,Datos!$E$2:$E$887,$A16,Datos!$D$2:$D$887,C$14)</f>
        <v>603960</v>
      </c>
      <c r="D16" s="18" t="n">
        <f aca="false">SUMIFS(Datos!$J$2:$J$887,Datos!$E$2:$E$887,$A16,Datos!$D$2:$D$887,D$14)</f>
        <v>840050</v>
      </c>
      <c r="E16" s="18" t="n">
        <f aca="false">SUMIFS(Datos!$J$2:$J$887,Datos!$E$2:$E$887,$A16,Datos!$D$2:$D$887,E$14)</f>
        <v>994610</v>
      </c>
      <c r="F16" s="18" t="n">
        <f aca="false">SUMIFS(Datos!$J$2:$J$887,Datos!$E$2:$E$887,$A16,Datos!$D$2:$D$887,F$14)</f>
        <v>1265400</v>
      </c>
      <c r="G16" s="18" t="n">
        <f aca="false">SUM(B16:F16)</f>
        <v>4228000</v>
      </c>
      <c r="H16" s="18" t="n">
        <f aca="false">SUMIFS(Cat_Gastos!$G$2:$G$16,Cat_Gastos!$A$2:$A$16,$A16)</f>
        <v>1097067</v>
      </c>
      <c r="I16" s="18" t="n">
        <f aca="false">SUMIFS(Datos!$N$2:$N$887,Datos!$E$2:$E$887,$A16)</f>
        <v>1133140</v>
      </c>
      <c r="J16" s="18" t="n">
        <f aca="false">I16-H16</f>
        <v>36073</v>
      </c>
      <c r="K16" s="20" t="n">
        <f aca="false">IFERROR(J16/G16,0)</f>
        <v>0.00853192999053926</v>
      </c>
    </row>
    <row r="17" customFormat="false" ht="15" hidden="false" customHeight="false" outlineLevel="0" collapsed="false">
      <c r="A17" s="4" t="s">
        <v>93</v>
      </c>
      <c r="B17" s="18" t="n">
        <f aca="false">SUMIFS(Datos!$J$2:$J$887,Datos!$E$2:$E$887,$A17,Datos!$D$2:$D$887,B$14)</f>
        <v>619920</v>
      </c>
      <c r="C17" s="18" t="n">
        <f aca="false">SUMIFS(Datos!$J$2:$J$887,Datos!$E$2:$E$887,$A17,Datos!$D$2:$D$887,C$14)</f>
        <v>701430</v>
      </c>
      <c r="D17" s="18" t="n">
        <f aca="false">SUMIFS(Datos!$J$2:$J$887,Datos!$E$2:$E$887,$A17,Datos!$D$2:$D$887,D$14)</f>
        <v>744560</v>
      </c>
      <c r="E17" s="18" t="n">
        <f aca="false">SUMIFS(Datos!$J$2:$J$887,Datos!$E$2:$E$887,$A17,Datos!$D$2:$D$887,E$14)</f>
        <v>804980</v>
      </c>
      <c r="F17" s="18" t="n">
        <f aca="false">SUMIFS(Datos!$J$2:$J$887,Datos!$E$2:$E$887,$A17,Datos!$D$2:$D$887,F$14)</f>
        <v>477180</v>
      </c>
      <c r="G17" s="18" t="n">
        <f aca="false">SUM(B17:F17)</f>
        <v>3348070</v>
      </c>
      <c r="H17" s="18" t="n">
        <f aca="false">SUMIFS(Cat_Gastos!$G$2:$G$16,Cat_Gastos!$A$2:$A$16,$A17)</f>
        <v>945046</v>
      </c>
      <c r="I17" s="18" t="n">
        <f aca="false">SUMIFS(Datos!$N$2:$N$887,Datos!$E$2:$E$887,$A17)</f>
        <v>931070</v>
      </c>
      <c r="J17" s="18" t="n">
        <f aca="false">I17-H17</f>
        <v>-13976</v>
      </c>
      <c r="K17" s="20" t="n">
        <f aca="false">IFERROR(J17/G17,0)</f>
        <v>-0.00417434521978334</v>
      </c>
    </row>
    <row r="18" customFormat="false" ht="15" hidden="false" customHeight="false" outlineLevel="0" collapsed="false">
      <c r="A18" s="21" t="s">
        <v>85</v>
      </c>
      <c r="B18" s="22" t="n">
        <f aca="false">SUM(B15:B17)</f>
        <v>2137680</v>
      </c>
      <c r="C18" s="22" t="n">
        <f aca="false">SUM(C15:C17)</f>
        <v>2415260</v>
      </c>
      <c r="D18" s="22" t="n">
        <f aca="false">SUM(D15:D17)</f>
        <v>2750260</v>
      </c>
      <c r="E18" s="22" t="n">
        <f aca="false">SUM(E15:E17)</f>
        <v>3083330</v>
      </c>
      <c r="F18" s="22" t="n">
        <f aca="false">SUM(F15:F17)</f>
        <v>2848860</v>
      </c>
      <c r="G18" s="22" t="n">
        <f aca="false">SUM(G15:G17)</f>
        <v>13235390</v>
      </c>
      <c r="H18" s="22" t="n">
        <f aca="false">SUM(H15:H17)</f>
        <v>3388145</v>
      </c>
      <c r="I18" s="22" t="n">
        <f aca="false">SUM(I15:I17)</f>
        <v>3673140</v>
      </c>
      <c r="J18" s="22" t="n">
        <f aca="false">SUM(J15:J17)</f>
        <v>284995</v>
      </c>
      <c r="K18" s="24" t="n">
        <f aca="false">IFERROR(J18/G18,0)</f>
        <v>0.0215327995623854</v>
      </c>
    </row>
    <row r="19" customFormat="false" ht="15" hidden="false" customHeight="false" outlineLevel="0" collapsed="false">
      <c r="A19" s="16" t="s">
        <v>94</v>
      </c>
    </row>
    <row r="21" customFormat="false" ht="15" hidden="false" customHeight="false" outlineLevel="0" collapsed="false">
      <c r="A21" s="13" t="s">
        <v>95</v>
      </c>
    </row>
    <row r="22" customFormat="false" ht="23.85" hidden="false" customHeight="false" outlineLevel="0" collapsed="false">
      <c r="A22" s="17" t="s">
        <v>96</v>
      </c>
      <c r="B22" s="17" t="s">
        <v>87</v>
      </c>
      <c r="C22" s="17" t="s">
        <v>97</v>
      </c>
      <c r="D22" s="17" t="s">
        <v>38</v>
      </c>
      <c r="E22" s="17" t="s">
        <v>41</v>
      </c>
      <c r="F22" s="17" t="s">
        <v>98</v>
      </c>
      <c r="G22" s="17" t="s">
        <v>99</v>
      </c>
      <c r="H22" s="17" t="s">
        <v>100</v>
      </c>
      <c r="I22" s="17" t="s">
        <v>101</v>
      </c>
      <c r="J22" s="17" t="s">
        <v>102</v>
      </c>
    </row>
    <row r="23" customFormat="false" ht="15" hidden="false" customHeight="false" outlineLevel="0" collapsed="false">
      <c r="A23" s="4" t="s">
        <v>103</v>
      </c>
      <c r="B23" s="4" t="str">
        <f aca="false">IFERROR(INDEX(Cat_Vendedores!$B$2:$B$7,MATCH($A23,Cat_Vendedores!$A$2:$A$7,0)),"sin catalogo")</f>
        <v>CDMX</v>
      </c>
      <c r="C23" s="18" t="n">
        <f aca="false">SUMIFS(Datos!$J$2:$J$887,Datos!$F$2:$F$887,$A23)</f>
        <v>3208210</v>
      </c>
      <c r="D23" s="19" t="n">
        <f aca="false">COUNTIFS(Datos!$F$2:$F$887,$A23)</f>
        <v>235</v>
      </c>
      <c r="E23" s="18" t="n">
        <f aca="false">IFERROR(C23/D23,0)</f>
        <v>13651.9574468085</v>
      </c>
      <c r="F23" s="18" t="n">
        <f aca="false">SUMIFS(Datos!$J$2:$J$887,Datos!$F$2:$F$887,$A23,Datos!$D$2:$D$887,"Mayo")</f>
        <v>466010</v>
      </c>
      <c r="G23" s="18" t="n">
        <f aca="false">IFERROR(INDEX(Cat_Vendedores!$C$2:$C$7,MATCH($A23,Cat_Vendedores!$A$2:$A$7,0)),0)</f>
        <v>220000</v>
      </c>
      <c r="H23" s="20" t="n">
        <f aca="false">IFERROR(F23/G23,0)</f>
        <v>2.11822727272727</v>
      </c>
      <c r="I23" s="20" t="n">
        <f aca="false">IFERROR(INDEX(Cat_Vendedores!$D$2:$D$7,MATCH($A23,Cat_Vendedores!$A$2:$A$7,0)),0)</f>
        <v>0.025</v>
      </c>
      <c r="J23" s="18" t="n">
        <f aca="false">F23*I23</f>
        <v>11650.25</v>
      </c>
    </row>
    <row r="24" customFormat="false" ht="15" hidden="false" customHeight="false" outlineLevel="0" collapsed="false">
      <c r="A24" s="4" t="s">
        <v>104</v>
      </c>
      <c r="B24" s="4" t="str">
        <f aca="false">IFERROR(INDEX(Cat_Vendedores!$B$2:$B$7,MATCH($A24,Cat_Vendedores!$A$2:$A$7,0)),"sin catalogo")</f>
        <v>Monterrey</v>
      </c>
      <c r="C24" s="18" t="n">
        <f aca="false">SUMIFS(Datos!$J$2:$J$887,Datos!$F$2:$F$887,$A24)</f>
        <v>1157070</v>
      </c>
      <c r="D24" s="19" t="n">
        <f aca="false">COUNTIFS(Datos!$F$2:$F$887,$A24)</f>
        <v>101</v>
      </c>
      <c r="E24" s="18" t="n">
        <f aca="false">IFERROR(C24/D24,0)</f>
        <v>11456.1386138614</v>
      </c>
      <c r="F24" s="18" t="n">
        <f aca="false">SUMIFS(Datos!$J$2:$J$887,Datos!$F$2:$F$887,$A24,Datos!$D$2:$D$887,"Mayo")</f>
        <v>242980</v>
      </c>
      <c r="G24" s="18" t="n">
        <f aca="false">IFERROR(INDEX(Cat_Vendedores!$C$2:$C$7,MATCH($A24,Cat_Vendedores!$A$2:$A$7,0)),0)</f>
        <v>280000</v>
      </c>
      <c r="H24" s="20" t="n">
        <f aca="false">IFERROR(F24/G24,0)</f>
        <v>0.867785714285714</v>
      </c>
      <c r="I24" s="20" t="n">
        <f aca="false">IFERROR(INDEX(Cat_Vendedores!$D$2:$D$7,MATCH($A24,Cat_Vendedores!$A$2:$A$7,0)),0)</f>
        <v>0.045</v>
      </c>
      <c r="J24" s="18" t="n">
        <f aca="false">F24*I24</f>
        <v>10934.1</v>
      </c>
    </row>
    <row r="25" customFormat="false" ht="15" hidden="false" customHeight="false" outlineLevel="0" collapsed="false">
      <c r="A25" s="4" t="s">
        <v>105</v>
      </c>
      <c r="B25" s="4" t="str">
        <f aca="false">IFERROR(INDEX(Cat_Vendedores!$B$2:$B$7,MATCH($A25,Cat_Vendedores!$A$2:$A$7,0)),"sin catalogo")</f>
        <v>Guadalajara</v>
      </c>
      <c r="C25" s="18" t="n">
        <f aca="false">SUMIFS(Datos!$J$2:$J$887,Datos!$F$2:$F$887,$A25)</f>
        <v>3288480</v>
      </c>
      <c r="D25" s="19" t="n">
        <f aca="false">COUNTIFS(Datos!$F$2:$F$887,$A25)</f>
        <v>191</v>
      </c>
      <c r="E25" s="18" t="n">
        <f aca="false">IFERROR(C25/D25,0)</f>
        <v>17217.1727748691</v>
      </c>
      <c r="F25" s="18" t="n">
        <f aca="false">SUMIFS(Datos!$J$2:$J$887,Datos!$F$2:$F$887,$A25,Datos!$D$2:$D$887,"Mayo")</f>
        <v>706430</v>
      </c>
      <c r="G25" s="18" t="n">
        <f aca="false">IFERROR(INDEX(Cat_Vendedores!$C$2:$C$7,MATCH($A25,Cat_Vendedores!$A$2:$A$7,0)),0)</f>
        <v>250000</v>
      </c>
      <c r="H25" s="20" t="n">
        <f aca="false">IFERROR(F25/G25,0)</f>
        <v>2.82572</v>
      </c>
      <c r="I25" s="20" t="n">
        <f aca="false">IFERROR(INDEX(Cat_Vendedores!$D$2:$D$7,MATCH($A25,Cat_Vendedores!$A$2:$A$7,0)),0)</f>
        <v>0.03</v>
      </c>
      <c r="J25" s="18" t="n">
        <f aca="false">F25*I25</f>
        <v>21192.9</v>
      </c>
    </row>
    <row r="26" customFormat="false" ht="15" hidden="false" customHeight="false" outlineLevel="0" collapsed="false">
      <c r="A26" s="4" t="s">
        <v>106</v>
      </c>
      <c r="B26" s="4" t="str">
        <f aca="false">IFERROR(INDEX(Cat_Vendedores!$B$2:$B$7,MATCH($A26,Cat_Vendedores!$A$2:$A$7,0)),"sin catalogo")</f>
        <v>Guadalajara</v>
      </c>
      <c r="C26" s="18" t="n">
        <f aca="false">SUMIFS(Datos!$J$2:$J$887,Datos!$F$2:$F$887,$A26)</f>
        <v>767170</v>
      </c>
      <c r="D26" s="19" t="n">
        <f aca="false">COUNTIFS(Datos!$F$2:$F$887,$A26)</f>
        <v>52</v>
      </c>
      <c r="E26" s="18" t="n">
        <f aca="false">IFERROR(C26/D26,0)</f>
        <v>14753.2692307692</v>
      </c>
      <c r="F26" s="18" t="n">
        <f aca="false">SUMIFS(Datos!$J$2:$J$887,Datos!$F$2:$F$887,$A26,Datos!$D$2:$D$887,"Mayo")</f>
        <v>384260</v>
      </c>
      <c r="G26" s="18" t="n">
        <f aca="false">IFERROR(INDEX(Cat_Vendedores!$C$2:$C$7,MATCH($A26,Cat_Vendedores!$A$2:$A$7,0)),0)</f>
        <v>260000</v>
      </c>
      <c r="H26" s="20" t="n">
        <f aca="false">IFERROR(F26/G26,0)</f>
        <v>1.47792307692308</v>
      </c>
      <c r="I26" s="20" t="n">
        <f aca="false">IFERROR(INDEX(Cat_Vendedores!$D$2:$D$7,MATCH($A26,Cat_Vendedores!$A$2:$A$7,0)),0)</f>
        <v>0.035</v>
      </c>
      <c r="J26" s="18" t="n">
        <f aca="false">F26*I26</f>
        <v>13449.1</v>
      </c>
    </row>
    <row r="27" customFormat="false" ht="15" hidden="false" customHeight="false" outlineLevel="0" collapsed="false">
      <c r="A27" s="4" t="s">
        <v>107</v>
      </c>
      <c r="B27" s="4" t="str">
        <f aca="false">IFERROR(INDEX(Cat_Vendedores!$B$2:$B$7,MATCH($A27,Cat_Vendedores!$A$2:$A$7,0)),"sin catalogo")</f>
        <v>CDMX</v>
      </c>
      <c r="C27" s="18" t="n">
        <f aca="false">SUMIFS(Datos!$J$2:$J$887,Datos!$F$2:$F$887,$A27)</f>
        <v>2327580</v>
      </c>
      <c r="D27" s="19" t="n">
        <f aca="false">COUNTIFS(Datos!$F$2:$F$887,$A27)</f>
        <v>167</v>
      </c>
      <c r="E27" s="18" t="n">
        <f aca="false">IFERROR(C27/D27,0)</f>
        <v>13937.6047904192</v>
      </c>
      <c r="F27" s="18" t="n">
        <f aca="false">SUMIFS(Datos!$J$2:$J$887,Datos!$F$2:$F$887,$A27,Datos!$D$2:$D$887,"Mayo")</f>
        <v>516740</v>
      </c>
      <c r="G27" s="18" t="n">
        <f aca="false">IFERROR(INDEX(Cat_Vendedores!$C$2:$C$7,MATCH($A27,Cat_Vendedores!$A$2:$A$7,0)),0)</f>
        <v>300000</v>
      </c>
      <c r="H27" s="20" t="n">
        <f aca="false">IFERROR(F27/G27,0)</f>
        <v>1.72246666666667</v>
      </c>
      <c r="I27" s="20" t="n">
        <f aca="false">IFERROR(INDEX(Cat_Vendedores!$D$2:$D$7,MATCH($A27,Cat_Vendedores!$A$2:$A$7,0)),0)</f>
        <v>0.05</v>
      </c>
      <c r="J27" s="18" t="n">
        <f aca="false">F27*I27</f>
        <v>25837</v>
      </c>
    </row>
    <row r="28" customFormat="false" ht="15" hidden="false" customHeight="false" outlineLevel="0" collapsed="false">
      <c r="A28" s="4" t="s">
        <v>108</v>
      </c>
      <c r="B28" s="4" t="str">
        <f aca="false">IFERROR(INDEX(Cat_Vendedores!$B$2:$B$7,MATCH($A28,Cat_Vendedores!$A$2:$A$7,0)),"sin catalogo")</f>
        <v>Monterrey</v>
      </c>
      <c r="C28" s="18" t="n">
        <f aca="false">SUMIFS(Datos!$J$2:$J$887,Datos!$F$2:$F$887,$A28)</f>
        <v>2486880</v>
      </c>
      <c r="D28" s="19" t="n">
        <f aca="false">COUNTIFS(Datos!$F$2:$F$887,$A28)</f>
        <v>140</v>
      </c>
      <c r="E28" s="18" t="n">
        <f aca="false">IFERROR(C28/D28,0)</f>
        <v>17763.4285714286</v>
      </c>
      <c r="F28" s="18" t="n">
        <f aca="false">SUMIFS(Datos!$J$2:$J$887,Datos!$F$2:$F$887,$A28,Datos!$D$2:$D$887,"Mayo")</f>
        <v>532440</v>
      </c>
      <c r="G28" s="18" t="n">
        <f aca="false">IFERROR(INDEX(Cat_Vendedores!$C$2:$C$7,MATCH($A28,Cat_Vendedores!$A$2:$A$7,0)),0)</f>
        <v>200000</v>
      </c>
      <c r="H28" s="20" t="n">
        <f aca="false">IFERROR(F28/G28,0)</f>
        <v>2.6622</v>
      </c>
      <c r="I28" s="20" t="n">
        <f aca="false">IFERROR(INDEX(Cat_Vendedores!$D$2:$D$7,MATCH($A28,Cat_Vendedores!$A$2:$A$7,0)),0)</f>
        <v>0.06</v>
      </c>
      <c r="J28" s="18" t="n">
        <f aca="false">F28*I28</f>
        <v>31946.4</v>
      </c>
    </row>
    <row r="29" customFormat="false" ht="15" hidden="false" customHeight="false" outlineLevel="0" collapsed="false">
      <c r="A29" s="21" t="s">
        <v>85</v>
      </c>
      <c r="B29" s="21"/>
      <c r="C29" s="22" t="n">
        <f aca="false">SUM(C23:C28)</f>
        <v>13235390</v>
      </c>
      <c r="D29" s="23" t="n">
        <f aca="false">SUM(D23:D28)</f>
        <v>886</v>
      </c>
      <c r="E29" s="22" t="n">
        <f aca="false">IFERROR(C29/D29,0)</f>
        <v>14938.3634311512</v>
      </c>
      <c r="F29" s="22" t="n">
        <f aca="false">SUM(F23:F28)</f>
        <v>2848860</v>
      </c>
      <c r="G29" s="22" t="n">
        <f aca="false">SUM(G23:G28)</f>
        <v>1510000</v>
      </c>
      <c r="H29" s="24" t="n">
        <f aca="false">IFERROR(F29/G29,0)</f>
        <v>1.88666225165563</v>
      </c>
      <c r="I29" s="21"/>
      <c r="J29" s="22" t="n">
        <f aca="false">SUM(J23:J28)</f>
        <v>115009.75</v>
      </c>
    </row>
    <row r="30" customFormat="false" ht="15" hidden="false" customHeight="false" outlineLevel="0" collapsed="false">
      <c r="A30" s="25" t="s">
        <v>109</v>
      </c>
    </row>
    <row r="32" customFormat="false" ht="15" hidden="false" customHeight="false" outlineLevel="0" collapsed="false">
      <c r="A32" s="13" t="s">
        <v>110</v>
      </c>
    </row>
    <row r="33" customFormat="false" ht="23.85" hidden="false" customHeight="false" outlineLevel="0" collapsed="false">
      <c r="A33" s="17" t="s">
        <v>111</v>
      </c>
      <c r="B33" s="17" t="s">
        <v>77</v>
      </c>
      <c r="C33" s="17" t="s">
        <v>76</v>
      </c>
      <c r="D33" s="17" t="s">
        <v>112</v>
      </c>
      <c r="E33" s="17" t="s">
        <v>43</v>
      </c>
      <c r="F33" s="17" t="s">
        <v>78</v>
      </c>
      <c r="G33" s="17" t="s">
        <v>113</v>
      </c>
    </row>
    <row r="34" customFormat="false" ht="15" hidden="false" customHeight="false" outlineLevel="0" collapsed="false">
      <c r="A34" s="4" t="s">
        <v>114</v>
      </c>
      <c r="B34" s="19" t="n">
        <f aca="false">SUMIFS(Datos!$H$2:$H$887,Datos!$G$2:$G$887,$A34)</f>
        <v>391</v>
      </c>
      <c r="C34" s="18" t="n">
        <f aca="false">SUMIFS(Datos!$J$2:$J$887,Datos!$G$2:$G$887,$A34)</f>
        <v>9503500</v>
      </c>
      <c r="D34" s="18" t="n">
        <f aca="false">SUMIFS(Datos!$M$2:$M$887,Datos!$G$2:$G$887,$A34)</f>
        <v>7507200</v>
      </c>
      <c r="E34" s="18" t="n">
        <f aca="false">C34-D34</f>
        <v>1996300</v>
      </c>
      <c r="F34" s="20" t="n">
        <f aca="false">IFERROR(E34/C34,0)</f>
        <v>0.210059451780923</v>
      </c>
      <c r="G34" s="20" t="n">
        <f aca="false">IFERROR(C34/$B$11,0)</f>
        <v>0.718037020442919</v>
      </c>
    </row>
    <row r="35" customFormat="false" ht="15" hidden="false" customHeight="false" outlineLevel="0" collapsed="false">
      <c r="A35" s="4" t="s">
        <v>115</v>
      </c>
      <c r="B35" s="19" t="n">
        <f aca="false">SUMIFS(Datos!$H$2:$H$887,Datos!$G$2:$G$887,$A35)</f>
        <v>141</v>
      </c>
      <c r="C35" s="18" t="n">
        <f aca="false">SUMIFS(Datos!$J$2:$J$887,Datos!$G$2:$G$887,$A35)</f>
        <v>868500</v>
      </c>
      <c r="D35" s="18" t="n">
        <f aca="false">SUMIFS(Datos!$M$2:$M$887,Datos!$G$2:$G$887,$A35)</f>
        <v>578100</v>
      </c>
      <c r="E35" s="18" t="n">
        <f aca="false">C35-D35</f>
        <v>290400</v>
      </c>
      <c r="F35" s="20" t="n">
        <f aca="false">IFERROR(E35/C35,0)</f>
        <v>0.334369602763385</v>
      </c>
      <c r="G35" s="20" t="n">
        <f aca="false">IFERROR(C35/$B$11,0)</f>
        <v>0.0656195246229994</v>
      </c>
    </row>
    <row r="36" customFormat="false" ht="15" hidden="false" customHeight="false" outlineLevel="0" collapsed="false">
      <c r="A36" s="4" t="s">
        <v>116</v>
      </c>
      <c r="B36" s="19" t="n">
        <f aca="false">SUMIFS(Datos!$H$2:$H$887,Datos!$G$2:$G$887,$A36)</f>
        <v>1273</v>
      </c>
      <c r="C36" s="18" t="n">
        <f aca="false">SUMIFS(Datos!$J$2:$J$887,Datos!$G$2:$G$887,$A36)</f>
        <v>789260</v>
      </c>
      <c r="D36" s="18" t="n">
        <f aca="false">SUMIFS(Datos!$M$2:$M$887,Datos!$G$2:$G$887,$A36)</f>
        <v>369170</v>
      </c>
      <c r="E36" s="18" t="n">
        <f aca="false">C36-D36</f>
        <v>420090</v>
      </c>
      <c r="F36" s="20" t="n">
        <f aca="false">IFERROR(E36/C36,0)</f>
        <v>0.532258064516129</v>
      </c>
      <c r="G36" s="20" t="n">
        <f aca="false">IFERROR(C36/$B$11,0)</f>
        <v>0.0596325457731129</v>
      </c>
    </row>
    <row r="37" customFormat="false" ht="15" hidden="false" customHeight="false" outlineLevel="0" collapsed="false">
      <c r="A37" s="4" t="s">
        <v>117</v>
      </c>
      <c r="B37" s="19" t="n">
        <f aca="false">SUMIFS(Datos!$H$2:$H$887,Datos!$G$2:$G$887,$A37)</f>
        <v>1275</v>
      </c>
      <c r="C37" s="18" t="n">
        <f aca="false">SUMIFS(Datos!$J$2:$J$887,Datos!$G$2:$G$887,$A37)</f>
        <v>1847570</v>
      </c>
      <c r="D37" s="18" t="n">
        <f aca="false">SUMIFS(Datos!$M$2:$M$887,Datos!$G$2:$G$887,$A37)</f>
        <v>994500</v>
      </c>
      <c r="E37" s="18" t="n">
        <f aca="false">C37-D37</f>
        <v>853070</v>
      </c>
      <c r="F37" s="20" t="n">
        <f aca="false">IFERROR(E37/C37,0)</f>
        <v>0.461725401473287</v>
      </c>
      <c r="G37" s="20" t="n">
        <f aca="false">IFERROR(C37/$B$11,0)</f>
        <v>0.139593166502838</v>
      </c>
    </row>
    <row r="38" customFormat="false" ht="15" hidden="false" customHeight="false" outlineLevel="0" collapsed="false">
      <c r="A38" s="4" t="s">
        <v>118</v>
      </c>
      <c r="B38" s="19" t="n">
        <f aca="false">SUMIFS(Datos!$H$2:$H$887,Datos!$G$2:$G$887,$A38)</f>
        <v>192</v>
      </c>
      <c r="C38" s="18" t="n">
        <f aca="false">SUMIFS(Datos!$J$2:$J$887,Datos!$G$2:$G$887,$A38)</f>
        <v>226560</v>
      </c>
      <c r="D38" s="18" t="n">
        <f aca="false">SUMIFS(Datos!$M$2:$M$887,Datos!$G$2:$G$887,$A38)</f>
        <v>113280</v>
      </c>
      <c r="E38" s="18" t="n">
        <f aca="false">C38-D38</f>
        <v>113280</v>
      </c>
      <c r="F38" s="20" t="n">
        <f aca="false">IFERROR(E38/C38,0)</f>
        <v>0.5</v>
      </c>
      <c r="G38" s="20" t="n">
        <f aca="false">IFERROR(C38/$B$11,0)</f>
        <v>0.017117742658131</v>
      </c>
    </row>
    <row r="39" customFormat="false" ht="15" hidden="false" customHeight="false" outlineLevel="0" collapsed="false">
      <c r="A39" s="21" t="s">
        <v>85</v>
      </c>
      <c r="B39" s="23" t="n">
        <f aca="false">SUM(B34:B38)</f>
        <v>3272</v>
      </c>
      <c r="C39" s="22" t="n">
        <f aca="false">SUM(C34:C38)</f>
        <v>13235390</v>
      </c>
      <c r="D39" s="22" t="n">
        <f aca="false">SUM(D34:D38)</f>
        <v>9562250</v>
      </c>
      <c r="E39" s="22" t="n">
        <f aca="false">SUM(E34:E38)</f>
        <v>3673140</v>
      </c>
      <c r="F39" s="24" t="n">
        <f aca="false">IFERROR(E39/C39,0)</f>
        <v>0.277524122825244</v>
      </c>
      <c r="G39" s="24" t="n">
        <f aca="false">IFERROR(C39/$B$11,0)</f>
        <v>1</v>
      </c>
    </row>
    <row r="42" customFormat="false" ht="15" hidden="false" customHeight="false" outlineLevel="0" collapsed="false">
      <c r="A42" s="13" t="s">
        <v>119</v>
      </c>
    </row>
    <row r="43" customFormat="false" ht="15" hidden="false" customHeight="false" outlineLevel="0" collapsed="false">
      <c r="A43" s="17" t="s">
        <v>120</v>
      </c>
      <c r="B43" s="17" t="s">
        <v>121</v>
      </c>
      <c r="C43" s="17" t="s">
        <v>122</v>
      </c>
      <c r="D43" s="17" t="s">
        <v>123</v>
      </c>
    </row>
    <row r="44" customFormat="false" ht="15" hidden="false" customHeight="false" outlineLevel="0" collapsed="false">
      <c r="A44" s="4" t="s">
        <v>124</v>
      </c>
      <c r="B44" s="19" t="n">
        <f aca="false">COUNTIFS(Cobranza!$I$4:$I$57,$A44)</f>
        <v>29</v>
      </c>
      <c r="C44" s="18" t="n">
        <f aca="false">SUMIFS(Cobranza!$F$4:$F$57,Cobranza!$I$4:$I$57,$A44)</f>
        <v>991100</v>
      </c>
      <c r="D44" s="20" t="n">
        <f aca="false">IFERROR(C44/$C$51,0)</f>
        <v>0.54639175257732</v>
      </c>
    </row>
    <row r="45" customFormat="false" ht="15" hidden="false" customHeight="false" outlineLevel="0" collapsed="false">
      <c r="A45" s="4" t="s">
        <v>125</v>
      </c>
      <c r="B45" s="19" t="n">
        <f aca="false">COUNTIFS(Cobranza!$I$4:$I$57,$A45)</f>
        <v>7</v>
      </c>
      <c r="C45" s="18" t="n">
        <f aca="false">SUMIFS(Cobranza!$F$4:$F$57,Cobranza!$I$4:$I$57,$A45)</f>
        <v>210300</v>
      </c>
      <c r="D45" s="20" t="n">
        <f aca="false">IFERROR(C45/$C$51,0)</f>
        <v>0.115938034070235</v>
      </c>
    </row>
    <row r="46" customFormat="false" ht="15" hidden="false" customHeight="false" outlineLevel="0" collapsed="false">
      <c r="A46" s="4" t="s">
        <v>126</v>
      </c>
      <c r="B46" s="19" t="n">
        <f aca="false">COUNTIFS(Cobranza!$I$4:$I$57,$A46)</f>
        <v>5</v>
      </c>
      <c r="C46" s="18" t="n">
        <f aca="false">SUMIFS(Cobranza!$F$4:$F$57,Cobranza!$I$4:$I$57,$A46)</f>
        <v>131200</v>
      </c>
      <c r="D46" s="20" t="n">
        <f aca="false">IFERROR(C46/$C$51,0)</f>
        <v>0.0723303379458625</v>
      </c>
    </row>
    <row r="47" customFormat="false" ht="15" hidden="false" customHeight="false" outlineLevel="0" collapsed="false">
      <c r="A47" s="4" t="s">
        <v>127</v>
      </c>
      <c r="B47" s="19" t="n">
        <f aca="false">COUNTIFS(Cobranza!$I$4:$I$57,$A47)</f>
        <v>7</v>
      </c>
      <c r="C47" s="18" t="n">
        <f aca="false">SUMIFS(Cobranza!$F$4:$F$57,Cobranza!$I$4:$I$57,$A47)</f>
        <v>314900</v>
      </c>
      <c r="D47" s="20" t="n">
        <f aca="false">IFERROR(C47/$C$51,0)</f>
        <v>0.17360383703622</v>
      </c>
    </row>
    <row r="48" customFormat="false" ht="15" hidden="false" customHeight="false" outlineLevel="0" collapsed="false">
      <c r="A48" s="4" t="s">
        <v>128</v>
      </c>
      <c r="B48" s="19" t="n">
        <f aca="false">COUNTIFS(Cobranza!$I$4:$I$57,$A48)</f>
        <v>0</v>
      </c>
      <c r="C48" s="18" t="n">
        <f aca="false">SUMIFS(Cobranza!$F$4:$F$57,Cobranza!$I$4:$I$57,$A48)</f>
        <v>0</v>
      </c>
      <c r="D48" s="20" t="n">
        <f aca="false">IFERROR(C48/$C$51,0)</f>
        <v>0</v>
      </c>
    </row>
    <row r="49" customFormat="false" ht="15" hidden="false" customHeight="false" outlineLevel="0" collapsed="false">
      <c r="A49" s="4" t="s">
        <v>129</v>
      </c>
      <c r="B49" s="19" t="n">
        <f aca="false">COUNTIFS(Cobranza!$I$4:$I$57,$A49)</f>
        <v>0</v>
      </c>
      <c r="C49" s="18" t="n">
        <f aca="false">SUMIFS(Cobranza!$F$4:$F$57,Cobranza!$I$4:$I$57,$A49)</f>
        <v>0</v>
      </c>
      <c r="D49" s="20" t="n">
        <f aca="false">IFERROR(C49/$C$51,0)</f>
        <v>0</v>
      </c>
    </row>
    <row r="50" customFormat="false" ht="15" hidden="false" customHeight="false" outlineLevel="0" collapsed="false">
      <c r="A50" s="4" t="s">
        <v>130</v>
      </c>
      <c r="B50" s="19" t="n">
        <f aca="false">COUNTIFS(Cobranza!$I$4:$I$57,$A50)</f>
        <v>6</v>
      </c>
      <c r="C50" s="18" t="n">
        <f aca="false">SUMIFS(Cobranza!$F$4:$F$57,Cobranza!$I$4:$I$57,$A50)</f>
        <v>166400</v>
      </c>
      <c r="D50" s="20" t="n">
        <f aca="false">IFERROR(C50/$C$51,0)</f>
        <v>0.0917360383703622</v>
      </c>
    </row>
    <row r="51" customFormat="false" ht="15" hidden="false" customHeight="false" outlineLevel="0" collapsed="false">
      <c r="A51" s="21" t="s">
        <v>131</v>
      </c>
      <c r="B51" s="23" t="n">
        <f aca="false">SUM(B44:B50)</f>
        <v>54</v>
      </c>
      <c r="C51" s="22" t="n">
        <f aca="false">SUM(C44:C50)</f>
        <v>1813900</v>
      </c>
      <c r="D51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9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4" min="12" style="0" width="13"/>
    <col collapsed="false" customWidth="true" hidden="false" outlineLevel="0" max="15" min="15" style="0" width="10"/>
    <col collapsed="false" customWidth="true" hidden="false" outlineLevel="0" max="16" min="16" style="0" width="20"/>
    <col collapsed="false" customWidth="true" hidden="false" outlineLevel="0" max="17" min="17" style="0" width="34"/>
    <col collapsed="false" customWidth="true" hidden="false" outlineLevel="0" max="18" min="18" style="0" width="18"/>
    <col collapsed="false" customWidth="true" hidden="false" outlineLevel="0" max="19" min="19" style="0" width="9"/>
    <col collapsed="false" customWidth="true" hidden="false" outlineLevel="0" max="20" min="20" style="0" width="20"/>
  </cols>
  <sheetData>
    <row r="1" customFormat="false" ht="23.85" hidden="false" customHeight="false" outlineLevel="0" collapsed="false">
      <c r="A1" s="17" t="s">
        <v>132</v>
      </c>
      <c r="B1" s="17" t="s">
        <v>133</v>
      </c>
      <c r="C1" s="17" t="s">
        <v>75</v>
      </c>
      <c r="D1" s="17" t="s">
        <v>134</v>
      </c>
      <c r="E1" s="17" t="s">
        <v>87</v>
      </c>
      <c r="F1" s="17" t="s">
        <v>96</v>
      </c>
      <c r="G1" s="17" t="s">
        <v>111</v>
      </c>
      <c r="H1" s="17" t="s">
        <v>135</v>
      </c>
      <c r="I1" s="17" t="s">
        <v>136</v>
      </c>
      <c r="J1" s="17" t="s">
        <v>137</v>
      </c>
      <c r="K1" s="17" t="s">
        <v>138</v>
      </c>
      <c r="L1" s="17" t="s">
        <v>139</v>
      </c>
      <c r="M1" s="17" t="s">
        <v>140</v>
      </c>
      <c r="N1" s="17" t="s">
        <v>141</v>
      </c>
      <c r="O1" s="17" t="s">
        <v>142</v>
      </c>
      <c r="P1" s="17" t="s">
        <v>143</v>
      </c>
      <c r="Q1" s="17" t="s">
        <v>144</v>
      </c>
      <c r="R1" s="17" t="s">
        <v>145</v>
      </c>
      <c r="S1" s="17" t="s">
        <v>146</v>
      </c>
      <c r="T1" s="17" t="s">
        <v>147</v>
      </c>
    </row>
    <row r="2" customFormat="false" ht="15" hidden="false" customHeight="false" outlineLevel="0" collapsed="false">
      <c r="A2" s="26" t="n">
        <v>46023</v>
      </c>
      <c r="B2" s="27" t="n">
        <v>2026</v>
      </c>
      <c r="C2" s="27" t="n">
        <v>1</v>
      </c>
      <c r="D2" s="27" t="s">
        <v>80</v>
      </c>
      <c r="E2" s="27" t="s">
        <v>93</v>
      </c>
      <c r="F2" s="27" t="s">
        <v>108</v>
      </c>
      <c r="G2" s="27" t="s">
        <v>117</v>
      </c>
      <c r="H2" s="28" t="n">
        <v>2</v>
      </c>
      <c r="I2" s="29" t="n">
        <v>1450</v>
      </c>
      <c r="J2" s="29" t="n">
        <v>2900</v>
      </c>
      <c r="K2" s="29" t="n">
        <f aca="false">H2*I2</f>
        <v>2900</v>
      </c>
      <c r="L2" s="29" t="n">
        <f aca="false">IFERROR(INDEX(Cat_Productos!$B$2:$B$6,MATCH(G2,Cat_Productos!$A$2:$A$6,0)),"")</f>
        <v>780</v>
      </c>
      <c r="M2" s="29" t="n">
        <f aca="false">IF(L2="","",H2*L2)</f>
        <v>1560</v>
      </c>
      <c r="N2" s="29" t="n">
        <f aca="false">IF(M2="","",J2-M2)</f>
        <v>1340</v>
      </c>
      <c r="O2" s="30" t="n">
        <f aca="false">IFERROR(N2/J2,0)</f>
        <v>0.462068965517241</v>
      </c>
      <c r="P2" s="27"/>
      <c r="Q2" s="27" t="s">
        <v>148</v>
      </c>
      <c r="R2" s="27" t="s">
        <v>149</v>
      </c>
      <c r="S2" s="27" t="n">
        <v>58</v>
      </c>
      <c r="T2" s="27"/>
    </row>
    <row r="3" customFormat="false" ht="15" hidden="false" customHeight="false" outlineLevel="0" collapsed="false">
      <c r="A3" s="26" t="n">
        <v>46023</v>
      </c>
      <c r="B3" s="27" t="n">
        <v>2026</v>
      </c>
      <c r="C3" s="27" t="n">
        <v>1</v>
      </c>
      <c r="D3" s="27" t="s">
        <v>80</v>
      </c>
      <c r="E3" s="27" t="s">
        <v>93</v>
      </c>
      <c r="F3" s="27" t="s">
        <v>104</v>
      </c>
      <c r="G3" s="27" t="s">
        <v>117</v>
      </c>
      <c r="H3" s="28" t="n">
        <v>2</v>
      </c>
      <c r="I3" s="29" t="n">
        <v>1450</v>
      </c>
      <c r="J3" s="29" t="n">
        <v>2900</v>
      </c>
      <c r="K3" s="29" t="n">
        <f aca="false">H3*I3</f>
        <v>2900</v>
      </c>
      <c r="L3" s="29" t="n">
        <f aca="false">IFERROR(INDEX(Cat_Productos!$B$2:$B$6,MATCH(G3,Cat_Productos!$A$2:$A$6,0)),"")</f>
        <v>780</v>
      </c>
      <c r="M3" s="29" t="n">
        <f aca="false">IF(L3="","",H3*L3)</f>
        <v>1560</v>
      </c>
      <c r="N3" s="29" t="n">
        <f aca="false">IF(M3="","",J3-M3)</f>
        <v>1340</v>
      </c>
      <c r="O3" s="30" t="n">
        <f aca="false">IFERROR(N3/J3,0)</f>
        <v>0.462068965517241</v>
      </c>
      <c r="P3" s="27"/>
      <c r="Q3" s="27" t="s">
        <v>148</v>
      </c>
      <c r="R3" s="27" t="s">
        <v>149</v>
      </c>
      <c r="S3" s="27" t="n">
        <v>165</v>
      </c>
      <c r="T3" s="27"/>
    </row>
    <row r="4" customFormat="false" ht="15" hidden="false" customHeight="false" outlineLevel="0" collapsed="false">
      <c r="A4" s="26" t="n">
        <v>46023</v>
      </c>
      <c r="B4" s="27" t="n">
        <v>2026</v>
      </c>
      <c r="C4" s="27" t="n">
        <v>1</v>
      </c>
      <c r="D4" s="27" t="s">
        <v>80</v>
      </c>
      <c r="E4" s="27" t="s">
        <v>91</v>
      </c>
      <c r="F4" s="27" t="s">
        <v>103</v>
      </c>
      <c r="G4" s="27" t="s">
        <v>117</v>
      </c>
      <c r="H4" s="28" t="n">
        <v>4</v>
      </c>
      <c r="I4" s="29" t="n">
        <v>1450</v>
      </c>
      <c r="J4" s="29" t="n">
        <v>5800</v>
      </c>
      <c r="K4" s="29" t="n">
        <f aca="false">H4*I4</f>
        <v>5800</v>
      </c>
      <c r="L4" s="29" t="n">
        <f aca="false">IFERROR(INDEX(Cat_Productos!$B$2:$B$6,MATCH(G4,Cat_Productos!$A$2:$A$6,0)),"")</f>
        <v>780</v>
      </c>
      <c r="M4" s="29" t="n">
        <f aca="false">IF(L4="","",H4*L4)</f>
        <v>3120</v>
      </c>
      <c r="N4" s="29" t="n">
        <f aca="false">IF(M4="","",J4-M4)</f>
        <v>2680</v>
      </c>
      <c r="O4" s="30" t="n">
        <f aca="false">IFERROR(N4/J4,0)</f>
        <v>0.462068965517241</v>
      </c>
      <c r="P4" s="27"/>
      <c r="Q4" s="27" t="s">
        <v>148</v>
      </c>
      <c r="R4" s="27" t="s">
        <v>149</v>
      </c>
      <c r="S4" s="27" t="n">
        <v>120</v>
      </c>
      <c r="T4" s="27"/>
    </row>
    <row r="5" customFormat="false" ht="15" hidden="false" customHeight="false" outlineLevel="0" collapsed="false">
      <c r="A5" s="26" t="n">
        <v>46023</v>
      </c>
      <c r="B5" s="27" t="n">
        <v>2026</v>
      </c>
      <c r="C5" s="27" t="n">
        <v>1</v>
      </c>
      <c r="D5" s="27" t="s">
        <v>80</v>
      </c>
      <c r="E5" s="27" t="s">
        <v>93</v>
      </c>
      <c r="F5" s="27" t="s">
        <v>104</v>
      </c>
      <c r="G5" s="27" t="s">
        <v>116</v>
      </c>
      <c r="H5" s="28" t="n">
        <v>2</v>
      </c>
      <c r="I5" s="29" t="n">
        <v>620</v>
      </c>
      <c r="J5" s="29" t="n">
        <v>1240</v>
      </c>
      <c r="K5" s="29" t="n">
        <f aca="false">H5*I5</f>
        <v>1240</v>
      </c>
      <c r="L5" s="29" t="n">
        <f aca="false">IFERROR(INDEX(Cat_Productos!$B$2:$B$6,MATCH(G5,Cat_Productos!$A$2:$A$6,0)),"")</f>
        <v>290</v>
      </c>
      <c r="M5" s="29" t="n">
        <f aca="false">IF(L5="","",H5*L5)</f>
        <v>580</v>
      </c>
      <c r="N5" s="29" t="n">
        <f aca="false">IF(M5="","",J5-M5)</f>
        <v>660</v>
      </c>
      <c r="O5" s="30" t="n">
        <f aca="false">IFERROR(N5/J5,0)</f>
        <v>0.532258064516129</v>
      </c>
      <c r="P5" s="27"/>
      <c r="Q5" s="27" t="s">
        <v>148</v>
      </c>
      <c r="R5" s="27" t="s">
        <v>149</v>
      </c>
      <c r="S5" s="27" t="n">
        <v>177</v>
      </c>
      <c r="T5" s="27"/>
    </row>
    <row r="6" customFormat="false" ht="15" hidden="false" customHeight="false" outlineLevel="0" collapsed="false">
      <c r="A6" s="26" t="n">
        <v>46023</v>
      </c>
      <c r="B6" s="27" t="n">
        <v>2026</v>
      </c>
      <c r="C6" s="27" t="n">
        <v>1</v>
      </c>
      <c r="D6" s="27" t="s">
        <v>80</v>
      </c>
      <c r="E6" s="27" t="s">
        <v>92</v>
      </c>
      <c r="F6" s="27" t="s">
        <v>105</v>
      </c>
      <c r="G6" s="27" t="s">
        <v>116</v>
      </c>
      <c r="H6" s="28" t="n">
        <v>6</v>
      </c>
      <c r="I6" s="29" t="n">
        <v>620</v>
      </c>
      <c r="J6" s="29" t="n">
        <v>3720</v>
      </c>
      <c r="K6" s="29" t="n">
        <f aca="false">H6*I6</f>
        <v>3720</v>
      </c>
      <c r="L6" s="29" t="n">
        <f aca="false">IFERROR(INDEX(Cat_Productos!$B$2:$B$6,MATCH(G6,Cat_Productos!$A$2:$A$6,0)),"")</f>
        <v>290</v>
      </c>
      <c r="M6" s="29" t="n">
        <f aca="false">IF(L6="","",H6*L6)</f>
        <v>1740</v>
      </c>
      <c r="N6" s="29" t="n">
        <f aca="false">IF(M6="","",J6-M6)</f>
        <v>1980</v>
      </c>
      <c r="O6" s="30" t="n">
        <f aca="false">IFERROR(N6/J6,0)</f>
        <v>0.532258064516129</v>
      </c>
      <c r="P6" s="27"/>
      <c r="Q6" s="27" t="s">
        <v>148</v>
      </c>
      <c r="R6" s="27" t="s">
        <v>149</v>
      </c>
      <c r="S6" s="27" t="n">
        <v>38</v>
      </c>
      <c r="T6" s="27"/>
    </row>
    <row r="7" customFormat="false" ht="15" hidden="false" customHeight="false" outlineLevel="0" collapsed="false">
      <c r="A7" s="26" t="n">
        <v>46023</v>
      </c>
      <c r="B7" s="27" t="n">
        <v>2026</v>
      </c>
      <c r="C7" s="27" t="n">
        <v>1</v>
      </c>
      <c r="D7" s="27" t="s">
        <v>80</v>
      </c>
      <c r="E7" s="27" t="s">
        <v>93</v>
      </c>
      <c r="F7" s="27" t="s">
        <v>104</v>
      </c>
      <c r="G7" s="27" t="s">
        <v>116</v>
      </c>
      <c r="H7" s="28" t="n">
        <v>2</v>
      </c>
      <c r="I7" s="29" t="n">
        <v>620</v>
      </c>
      <c r="J7" s="29" t="n">
        <v>1240</v>
      </c>
      <c r="K7" s="29" t="n">
        <f aca="false">H7*I7</f>
        <v>1240</v>
      </c>
      <c r="L7" s="29" t="n">
        <f aca="false">IFERROR(INDEX(Cat_Productos!$B$2:$B$6,MATCH(G7,Cat_Productos!$A$2:$A$6,0)),"")</f>
        <v>290</v>
      </c>
      <c r="M7" s="29" t="n">
        <f aca="false">IF(L7="","",H7*L7)</f>
        <v>580</v>
      </c>
      <c r="N7" s="29" t="n">
        <f aca="false">IF(M7="","",J7-M7)</f>
        <v>660</v>
      </c>
      <c r="O7" s="30" t="n">
        <f aca="false">IFERROR(N7/J7,0)</f>
        <v>0.532258064516129</v>
      </c>
      <c r="P7" s="27"/>
      <c r="Q7" s="27" t="s">
        <v>148</v>
      </c>
      <c r="R7" s="27" t="s">
        <v>149</v>
      </c>
      <c r="S7" s="27" t="n">
        <v>173</v>
      </c>
      <c r="T7" s="27"/>
    </row>
    <row r="8" customFormat="false" ht="15" hidden="false" customHeight="false" outlineLevel="0" collapsed="false">
      <c r="A8" s="26" t="n">
        <v>46023</v>
      </c>
      <c r="B8" s="27" t="n">
        <v>2026</v>
      </c>
      <c r="C8" s="27" t="n">
        <v>1</v>
      </c>
      <c r="D8" s="27" t="s">
        <v>80</v>
      </c>
      <c r="E8" s="27" t="s">
        <v>91</v>
      </c>
      <c r="F8" s="27" t="s">
        <v>103</v>
      </c>
      <c r="G8" s="27" t="s">
        <v>117</v>
      </c>
      <c r="H8" s="28" t="n">
        <v>2</v>
      </c>
      <c r="I8" s="29" t="n">
        <v>1450</v>
      </c>
      <c r="J8" s="29" t="n">
        <v>2900</v>
      </c>
      <c r="K8" s="29" t="n">
        <f aca="false">H8*I8</f>
        <v>2900</v>
      </c>
      <c r="L8" s="29" t="n">
        <f aca="false">IFERROR(INDEX(Cat_Productos!$B$2:$B$6,MATCH(G8,Cat_Productos!$A$2:$A$6,0)),"")</f>
        <v>780</v>
      </c>
      <c r="M8" s="29" t="n">
        <f aca="false">IF(L8="","",H8*L8)</f>
        <v>1560</v>
      </c>
      <c r="N8" s="29" t="n">
        <f aca="false">IF(M8="","",J8-M8)</f>
        <v>1340</v>
      </c>
      <c r="O8" s="30" t="n">
        <f aca="false">IFERROR(N8/J8,0)</f>
        <v>0.462068965517241</v>
      </c>
      <c r="P8" s="27"/>
      <c r="Q8" s="27" t="s">
        <v>148</v>
      </c>
      <c r="R8" s="27" t="s">
        <v>149</v>
      </c>
      <c r="S8" s="27" t="n">
        <v>130</v>
      </c>
      <c r="T8" s="27"/>
    </row>
    <row r="9" customFormat="false" ht="15" hidden="false" customHeight="false" outlineLevel="0" collapsed="false">
      <c r="A9" s="26" t="n">
        <v>46023</v>
      </c>
      <c r="B9" s="27" t="n">
        <v>2026</v>
      </c>
      <c r="C9" s="27" t="n">
        <v>1</v>
      </c>
      <c r="D9" s="27" t="s">
        <v>80</v>
      </c>
      <c r="E9" s="27" t="s">
        <v>92</v>
      </c>
      <c r="F9" s="27" t="s">
        <v>105</v>
      </c>
      <c r="G9" s="27" t="s">
        <v>117</v>
      </c>
      <c r="H9" s="28" t="n">
        <v>4</v>
      </c>
      <c r="I9" s="29" t="n">
        <v>1450</v>
      </c>
      <c r="J9" s="29" t="n">
        <v>5800</v>
      </c>
      <c r="K9" s="29" t="n">
        <f aca="false">H9*I9</f>
        <v>5800</v>
      </c>
      <c r="L9" s="29" t="n">
        <f aca="false">IFERROR(INDEX(Cat_Productos!$B$2:$B$6,MATCH(G9,Cat_Productos!$A$2:$A$6,0)),"")</f>
        <v>780</v>
      </c>
      <c r="M9" s="29" t="n">
        <f aca="false">IF(L9="","",H9*L9)</f>
        <v>3120</v>
      </c>
      <c r="N9" s="29" t="n">
        <f aca="false">IF(M9="","",J9-M9)</f>
        <v>2680</v>
      </c>
      <c r="O9" s="30" t="n">
        <f aca="false">IFERROR(N9/J9,0)</f>
        <v>0.462068965517241</v>
      </c>
      <c r="P9" s="27"/>
      <c r="Q9" s="27" t="s">
        <v>148</v>
      </c>
      <c r="R9" s="27" t="s">
        <v>149</v>
      </c>
      <c r="S9" s="27" t="n">
        <v>16</v>
      </c>
      <c r="T9" s="27"/>
    </row>
    <row r="10" customFormat="false" ht="15" hidden="false" customHeight="false" outlineLevel="0" collapsed="false">
      <c r="A10" s="26" t="n">
        <v>46023</v>
      </c>
      <c r="B10" s="27" t="n">
        <v>2026</v>
      </c>
      <c r="C10" s="27" t="n">
        <v>1</v>
      </c>
      <c r="D10" s="27" t="s">
        <v>80</v>
      </c>
      <c r="E10" s="27" t="s">
        <v>93</v>
      </c>
      <c r="F10" s="27" t="s">
        <v>108</v>
      </c>
      <c r="G10" s="27" t="s">
        <v>117</v>
      </c>
      <c r="H10" s="28" t="n">
        <v>6</v>
      </c>
      <c r="I10" s="29" t="n">
        <v>1450</v>
      </c>
      <c r="J10" s="29" t="n">
        <v>8700</v>
      </c>
      <c r="K10" s="29" t="n">
        <f aca="false">H10*I10</f>
        <v>8700</v>
      </c>
      <c r="L10" s="29" t="n">
        <f aca="false">IFERROR(INDEX(Cat_Productos!$B$2:$B$6,MATCH(G10,Cat_Productos!$A$2:$A$6,0)),"")</f>
        <v>780</v>
      </c>
      <c r="M10" s="29" t="n">
        <f aca="false">IF(L10="","",H10*L10)</f>
        <v>4680</v>
      </c>
      <c r="N10" s="29" t="n">
        <f aca="false">IF(M10="","",J10-M10)</f>
        <v>4020</v>
      </c>
      <c r="O10" s="30" t="n">
        <f aca="false">IFERROR(N10/J10,0)</f>
        <v>0.462068965517241</v>
      </c>
      <c r="P10" s="27"/>
      <c r="Q10" s="27" t="s">
        <v>148</v>
      </c>
      <c r="R10" s="27" t="s">
        <v>149</v>
      </c>
      <c r="S10" s="27" t="n">
        <v>56</v>
      </c>
      <c r="T10" s="27"/>
    </row>
    <row r="11" customFormat="false" ht="15" hidden="false" customHeight="false" outlineLevel="0" collapsed="false">
      <c r="A11" s="26" t="n">
        <v>46023</v>
      </c>
      <c r="B11" s="27" t="n">
        <v>2026</v>
      </c>
      <c r="C11" s="27" t="n">
        <v>1</v>
      </c>
      <c r="D11" s="27" t="s">
        <v>80</v>
      </c>
      <c r="E11" s="27" t="s">
        <v>92</v>
      </c>
      <c r="F11" s="27" t="s">
        <v>105</v>
      </c>
      <c r="G11" s="27" t="s">
        <v>117</v>
      </c>
      <c r="H11" s="28" t="n">
        <v>2</v>
      </c>
      <c r="I11" s="29" t="n">
        <v>1450</v>
      </c>
      <c r="J11" s="29" t="n">
        <v>2900</v>
      </c>
      <c r="K11" s="29" t="n">
        <f aca="false">H11*I11</f>
        <v>2900</v>
      </c>
      <c r="L11" s="29" t="n">
        <f aca="false">IFERROR(INDEX(Cat_Productos!$B$2:$B$6,MATCH(G11,Cat_Productos!$A$2:$A$6,0)),"")</f>
        <v>780</v>
      </c>
      <c r="M11" s="29" t="n">
        <f aca="false">IF(L11="","",H11*L11)</f>
        <v>1560</v>
      </c>
      <c r="N11" s="29" t="n">
        <f aca="false">IF(M11="","",J11-M11)</f>
        <v>1340</v>
      </c>
      <c r="O11" s="30" t="n">
        <f aca="false">IFERROR(N11/J11,0)</f>
        <v>0.462068965517241</v>
      </c>
      <c r="P11" s="27"/>
      <c r="Q11" s="27" t="s">
        <v>148</v>
      </c>
      <c r="R11" s="27" t="s">
        <v>149</v>
      </c>
      <c r="S11" s="27" t="n">
        <v>6</v>
      </c>
      <c r="T11" s="27"/>
    </row>
    <row r="12" customFormat="false" ht="15" hidden="false" customHeight="false" outlineLevel="0" collapsed="false">
      <c r="A12" s="26" t="n">
        <v>46025</v>
      </c>
      <c r="B12" s="27" t="n">
        <v>2026</v>
      </c>
      <c r="C12" s="27" t="n">
        <v>1</v>
      </c>
      <c r="D12" s="27" t="s">
        <v>80</v>
      </c>
      <c r="E12" s="27" t="s">
        <v>93</v>
      </c>
      <c r="F12" s="27" t="s">
        <v>108</v>
      </c>
      <c r="G12" s="27" t="s">
        <v>117</v>
      </c>
      <c r="H12" s="28" t="n">
        <v>6</v>
      </c>
      <c r="I12" s="29" t="n">
        <v>1450</v>
      </c>
      <c r="J12" s="29" t="n">
        <v>8700</v>
      </c>
      <c r="K12" s="29" t="n">
        <f aca="false">H12*I12</f>
        <v>8700</v>
      </c>
      <c r="L12" s="29" t="n">
        <f aca="false">IFERROR(INDEX(Cat_Productos!$B$2:$B$6,MATCH(G12,Cat_Productos!$A$2:$A$6,0)),"")</f>
        <v>780</v>
      </c>
      <c r="M12" s="29" t="n">
        <f aca="false">IF(L12="","",H12*L12)</f>
        <v>4680</v>
      </c>
      <c r="N12" s="29" t="n">
        <f aca="false">IF(M12="","",J12-M12)</f>
        <v>4020</v>
      </c>
      <c r="O12" s="30" t="n">
        <f aca="false">IFERROR(N12/J12,0)</f>
        <v>0.462068965517241</v>
      </c>
      <c r="P12" s="27"/>
      <c r="Q12" s="27" t="s">
        <v>148</v>
      </c>
      <c r="R12" s="27" t="s">
        <v>149</v>
      </c>
      <c r="S12" s="27" t="n">
        <v>53</v>
      </c>
      <c r="T12" s="27"/>
    </row>
    <row r="13" customFormat="false" ht="15" hidden="false" customHeight="false" outlineLevel="0" collapsed="false">
      <c r="A13" s="26" t="n">
        <v>46025</v>
      </c>
      <c r="B13" s="27" t="n">
        <v>2026</v>
      </c>
      <c r="C13" s="27" t="n">
        <v>1</v>
      </c>
      <c r="D13" s="27" t="s">
        <v>80</v>
      </c>
      <c r="E13" s="27" t="s">
        <v>92</v>
      </c>
      <c r="F13" s="27" t="s">
        <v>105</v>
      </c>
      <c r="G13" s="27" t="s">
        <v>116</v>
      </c>
      <c r="H13" s="28" t="n">
        <v>4</v>
      </c>
      <c r="I13" s="29" t="n">
        <v>620</v>
      </c>
      <c r="J13" s="29" t="n">
        <v>2480</v>
      </c>
      <c r="K13" s="29" t="n">
        <f aca="false">H13*I13</f>
        <v>2480</v>
      </c>
      <c r="L13" s="29" t="n">
        <f aca="false">IFERROR(INDEX(Cat_Productos!$B$2:$B$6,MATCH(G13,Cat_Productos!$A$2:$A$6,0)),"")</f>
        <v>290</v>
      </c>
      <c r="M13" s="29" t="n">
        <f aca="false">IF(L13="","",H13*L13)</f>
        <v>1160</v>
      </c>
      <c r="N13" s="29" t="n">
        <f aca="false">IF(M13="","",J13-M13)</f>
        <v>1320</v>
      </c>
      <c r="O13" s="30" t="n">
        <f aca="false">IFERROR(N13/J13,0)</f>
        <v>0.532258064516129</v>
      </c>
      <c r="P13" s="27"/>
      <c r="Q13" s="27" t="s">
        <v>148</v>
      </c>
      <c r="R13" s="27" t="s">
        <v>149</v>
      </c>
      <c r="S13" s="27" t="n">
        <v>33</v>
      </c>
      <c r="T13" s="27"/>
    </row>
    <row r="14" customFormat="false" ht="15" hidden="false" customHeight="false" outlineLevel="0" collapsed="false">
      <c r="A14" s="26" t="n">
        <v>46025</v>
      </c>
      <c r="B14" s="27" t="n">
        <v>2026</v>
      </c>
      <c r="C14" s="27" t="n">
        <v>1</v>
      </c>
      <c r="D14" s="27" t="s">
        <v>80</v>
      </c>
      <c r="E14" s="27" t="s">
        <v>92</v>
      </c>
      <c r="F14" s="27" t="s">
        <v>105</v>
      </c>
      <c r="G14" s="27" t="s">
        <v>114</v>
      </c>
      <c r="H14" s="28" t="n">
        <v>4</v>
      </c>
      <c r="I14" s="29" t="n">
        <v>23900</v>
      </c>
      <c r="J14" s="29" t="n">
        <v>95600</v>
      </c>
      <c r="K14" s="29" t="n">
        <f aca="false">H14*I14</f>
        <v>95600</v>
      </c>
      <c r="L14" s="29" t="n">
        <f aca="false">IFERROR(INDEX(Cat_Productos!$B$2:$B$6,MATCH(G14,Cat_Productos!$A$2:$A$6,0)),"")</f>
        <v>19200</v>
      </c>
      <c r="M14" s="29" t="n">
        <f aca="false">IF(L14="","",H14*L14)</f>
        <v>76800</v>
      </c>
      <c r="N14" s="29" t="n">
        <f aca="false">IF(M14="","",J14-M14)</f>
        <v>18800</v>
      </c>
      <c r="O14" s="30" t="n">
        <f aca="false">IFERROR(N14/J14,0)</f>
        <v>0.196652719665272</v>
      </c>
      <c r="P14" s="27"/>
      <c r="Q14" s="27" t="s">
        <v>148</v>
      </c>
      <c r="R14" s="27" t="s">
        <v>149</v>
      </c>
      <c r="S14" s="27" t="n">
        <v>3</v>
      </c>
      <c r="T14" s="27"/>
    </row>
    <row r="15" customFormat="false" ht="15" hidden="false" customHeight="false" outlineLevel="0" collapsed="false">
      <c r="A15" s="26" t="n">
        <v>46025</v>
      </c>
      <c r="B15" s="27" t="n">
        <v>2026</v>
      </c>
      <c r="C15" s="27" t="n">
        <v>1</v>
      </c>
      <c r="D15" s="27" t="s">
        <v>80</v>
      </c>
      <c r="E15" s="27" t="s">
        <v>93</v>
      </c>
      <c r="F15" s="27" t="s">
        <v>108</v>
      </c>
      <c r="G15" s="27" t="s">
        <v>117</v>
      </c>
      <c r="H15" s="28" t="n">
        <v>6</v>
      </c>
      <c r="I15" s="29" t="n">
        <v>1450</v>
      </c>
      <c r="J15" s="29" t="n">
        <v>8700</v>
      </c>
      <c r="K15" s="29" t="n">
        <f aca="false">H15*I15</f>
        <v>8700</v>
      </c>
      <c r="L15" s="29" t="n">
        <f aca="false">IFERROR(INDEX(Cat_Productos!$B$2:$B$6,MATCH(G15,Cat_Productos!$A$2:$A$6,0)),"")</f>
        <v>780</v>
      </c>
      <c r="M15" s="29" t="n">
        <f aca="false">IF(L15="","",H15*L15)</f>
        <v>4680</v>
      </c>
      <c r="N15" s="29" t="n">
        <f aca="false">IF(M15="","",J15-M15)</f>
        <v>4020</v>
      </c>
      <c r="O15" s="30" t="n">
        <f aca="false">IFERROR(N15/J15,0)</f>
        <v>0.462068965517241</v>
      </c>
      <c r="P15" s="27"/>
      <c r="Q15" s="27" t="s">
        <v>148</v>
      </c>
      <c r="R15" s="27" t="s">
        <v>149</v>
      </c>
      <c r="S15" s="27" t="n">
        <v>61</v>
      </c>
      <c r="T15" s="27"/>
    </row>
    <row r="16" customFormat="false" ht="15" hidden="false" customHeight="false" outlineLevel="0" collapsed="false">
      <c r="A16" s="26" t="n">
        <v>46025</v>
      </c>
      <c r="B16" s="27" t="n">
        <v>2026</v>
      </c>
      <c r="C16" s="27" t="n">
        <v>1</v>
      </c>
      <c r="D16" s="27" t="s">
        <v>80</v>
      </c>
      <c r="E16" s="27" t="s">
        <v>91</v>
      </c>
      <c r="F16" s="27" t="s">
        <v>103</v>
      </c>
      <c r="G16" s="27" t="s">
        <v>116</v>
      </c>
      <c r="H16" s="28" t="n">
        <v>2</v>
      </c>
      <c r="I16" s="29" t="n">
        <v>620</v>
      </c>
      <c r="J16" s="29" t="n">
        <v>1240</v>
      </c>
      <c r="K16" s="29" t="n">
        <f aca="false">H16*I16</f>
        <v>1240</v>
      </c>
      <c r="L16" s="29" t="n">
        <f aca="false">IFERROR(INDEX(Cat_Productos!$B$2:$B$6,MATCH(G16,Cat_Productos!$A$2:$A$6,0)),"")</f>
        <v>290</v>
      </c>
      <c r="M16" s="29" t="n">
        <f aca="false">IF(L16="","",H16*L16)</f>
        <v>580</v>
      </c>
      <c r="N16" s="29" t="n">
        <f aca="false">IF(M16="","",J16-M16)</f>
        <v>660</v>
      </c>
      <c r="O16" s="30" t="n">
        <f aca="false">IFERROR(N16/J16,0)</f>
        <v>0.532258064516129</v>
      </c>
      <c r="P16" s="27"/>
      <c r="Q16" s="27" t="s">
        <v>148</v>
      </c>
      <c r="R16" s="27" t="s">
        <v>149</v>
      </c>
      <c r="S16" s="27" t="n">
        <v>149</v>
      </c>
      <c r="T16" s="27"/>
    </row>
    <row r="17" customFormat="false" ht="15" hidden="false" customHeight="false" outlineLevel="0" collapsed="false">
      <c r="A17" s="26" t="n">
        <v>46025</v>
      </c>
      <c r="B17" s="27" t="n">
        <v>2026</v>
      </c>
      <c r="C17" s="27" t="n">
        <v>1</v>
      </c>
      <c r="D17" s="27" t="s">
        <v>80</v>
      </c>
      <c r="E17" s="27" t="s">
        <v>92</v>
      </c>
      <c r="F17" s="27" t="s">
        <v>105</v>
      </c>
      <c r="G17" s="27" t="s">
        <v>117</v>
      </c>
      <c r="H17" s="28" t="n">
        <v>2</v>
      </c>
      <c r="I17" s="29" t="n">
        <v>1450</v>
      </c>
      <c r="J17" s="29" t="n">
        <v>2900</v>
      </c>
      <c r="K17" s="29" t="n">
        <f aca="false">H17*I17</f>
        <v>2900</v>
      </c>
      <c r="L17" s="29" t="n">
        <f aca="false">IFERROR(INDEX(Cat_Productos!$B$2:$B$6,MATCH(G17,Cat_Productos!$A$2:$A$6,0)),"")</f>
        <v>780</v>
      </c>
      <c r="M17" s="29" t="n">
        <f aca="false">IF(L17="","",H17*L17)</f>
        <v>1560</v>
      </c>
      <c r="N17" s="29" t="n">
        <f aca="false">IF(M17="","",J17-M17)</f>
        <v>1340</v>
      </c>
      <c r="O17" s="30" t="n">
        <f aca="false">IFERROR(N17/J17,0)</f>
        <v>0.462068965517241</v>
      </c>
      <c r="P17" s="27"/>
      <c r="Q17" s="27" t="s">
        <v>148</v>
      </c>
      <c r="R17" s="27" t="s">
        <v>149</v>
      </c>
      <c r="S17" s="27" t="n">
        <v>21</v>
      </c>
      <c r="T17" s="27"/>
    </row>
    <row r="18" customFormat="false" ht="15" hidden="false" customHeight="false" outlineLevel="0" collapsed="false">
      <c r="A18" s="26" t="n">
        <v>46025</v>
      </c>
      <c r="B18" s="27" t="n">
        <v>2026</v>
      </c>
      <c r="C18" s="27" t="n">
        <v>1</v>
      </c>
      <c r="D18" s="27" t="s">
        <v>80</v>
      </c>
      <c r="E18" s="27" t="s">
        <v>91</v>
      </c>
      <c r="F18" s="27" t="s">
        <v>107</v>
      </c>
      <c r="G18" s="27" t="s">
        <v>117</v>
      </c>
      <c r="H18" s="28" t="n">
        <v>4</v>
      </c>
      <c r="I18" s="29" t="n">
        <v>1450</v>
      </c>
      <c r="J18" s="29" t="n">
        <v>5800</v>
      </c>
      <c r="K18" s="29" t="n">
        <f aca="false">H18*I18</f>
        <v>5800</v>
      </c>
      <c r="L18" s="29" t="n">
        <f aca="false">IFERROR(INDEX(Cat_Productos!$B$2:$B$6,MATCH(G18,Cat_Productos!$A$2:$A$6,0)),"")</f>
        <v>780</v>
      </c>
      <c r="M18" s="29" t="n">
        <f aca="false">IF(L18="","",H18*L18)</f>
        <v>3120</v>
      </c>
      <c r="N18" s="29" t="n">
        <f aca="false">IF(M18="","",J18-M18)</f>
        <v>2680</v>
      </c>
      <c r="O18" s="30" t="n">
        <f aca="false">IFERROR(N18/J18,0)</f>
        <v>0.462068965517241</v>
      </c>
      <c r="P18" s="27"/>
      <c r="Q18" s="27" t="s">
        <v>148</v>
      </c>
      <c r="R18" s="27" t="s">
        <v>149</v>
      </c>
      <c r="S18" s="27" t="n">
        <v>79</v>
      </c>
      <c r="T18" s="27"/>
    </row>
    <row r="19" customFormat="false" ht="15" hidden="false" customHeight="false" outlineLevel="0" collapsed="false">
      <c r="A19" s="26" t="n">
        <v>46025</v>
      </c>
      <c r="B19" s="27" t="n">
        <v>2026</v>
      </c>
      <c r="C19" s="27" t="n">
        <v>1</v>
      </c>
      <c r="D19" s="27" t="s">
        <v>80</v>
      </c>
      <c r="E19" s="27" t="s">
        <v>92</v>
      </c>
      <c r="F19" s="27" t="s">
        <v>105</v>
      </c>
      <c r="G19" s="27" t="s">
        <v>116</v>
      </c>
      <c r="H19" s="28" t="n">
        <v>6</v>
      </c>
      <c r="I19" s="29" t="n">
        <v>620</v>
      </c>
      <c r="J19" s="29" t="n">
        <v>3720</v>
      </c>
      <c r="K19" s="29" t="n">
        <f aca="false">H19*I19</f>
        <v>3720</v>
      </c>
      <c r="L19" s="29" t="n">
        <f aca="false">IFERROR(INDEX(Cat_Productos!$B$2:$B$6,MATCH(G19,Cat_Productos!$A$2:$A$6,0)),"")</f>
        <v>290</v>
      </c>
      <c r="M19" s="29" t="n">
        <f aca="false">IF(L19="","",H19*L19)</f>
        <v>1740</v>
      </c>
      <c r="N19" s="29" t="n">
        <f aca="false">IF(M19="","",J19-M19)</f>
        <v>1980</v>
      </c>
      <c r="O19" s="30" t="n">
        <f aca="false">IFERROR(N19/J19,0)</f>
        <v>0.532258064516129</v>
      </c>
      <c r="P19" s="27"/>
      <c r="Q19" s="27" t="s">
        <v>148</v>
      </c>
      <c r="R19" s="27" t="s">
        <v>149</v>
      </c>
      <c r="S19" s="27" t="n">
        <v>47</v>
      </c>
      <c r="T19" s="27"/>
    </row>
    <row r="20" customFormat="false" ht="15" hidden="false" customHeight="false" outlineLevel="0" collapsed="false">
      <c r="A20" s="26" t="n">
        <v>46025</v>
      </c>
      <c r="B20" s="27" t="n">
        <v>2026</v>
      </c>
      <c r="C20" s="27" t="n">
        <v>1</v>
      </c>
      <c r="D20" s="27" t="s">
        <v>80</v>
      </c>
      <c r="E20" s="27" t="s">
        <v>91</v>
      </c>
      <c r="F20" s="27" t="s">
        <v>107</v>
      </c>
      <c r="G20" s="27" t="s">
        <v>117</v>
      </c>
      <c r="H20" s="28" t="n">
        <v>4</v>
      </c>
      <c r="I20" s="29" t="n">
        <v>1450</v>
      </c>
      <c r="J20" s="29" t="n">
        <v>5800</v>
      </c>
      <c r="K20" s="29" t="n">
        <f aca="false">H20*I20</f>
        <v>5800</v>
      </c>
      <c r="L20" s="29" t="n">
        <f aca="false">IFERROR(INDEX(Cat_Productos!$B$2:$B$6,MATCH(G20,Cat_Productos!$A$2:$A$6,0)),"")</f>
        <v>780</v>
      </c>
      <c r="M20" s="29" t="n">
        <f aca="false">IF(L20="","",H20*L20)</f>
        <v>3120</v>
      </c>
      <c r="N20" s="29" t="n">
        <f aca="false">IF(M20="","",J20-M20)</f>
        <v>2680</v>
      </c>
      <c r="O20" s="30" t="n">
        <f aca="false">IFERROR(N20/J20,0)</f>
        <v>0.462068965517241</v>
      </c>
      <c r="P20" s="27"/>
      <c r="Q20" s="27" t="s">
        <v>148</v>
      </c>
      <c r="R20" s="27" t="s">
        <v>149</v>
      </c>
      <c r="S20" s="27" t="n">
        <v>89</v>
      </c>
      <c r="T20" s="27"/>
    </row>
    <row r="21" customFormat="false" ht="15" hidden="false" customHeight="false" outlineLevel="0" collapsed="false">
      <c r="A21" s="26" t="n">
        <v>46025</v>
      </c>
      <c r="B21" s="27" t="n">
        <v>2026</v>
      </c>
      <c r="C21" s="27" t="n">
        <v>1</v>
      </c>
      <c r="D21" s="27" t="s">
        <v>80</v>
      </c>
      <c r="E21" s="27" t="s">
        <v>93</v>
      </c>
      <c r="F21" s="27" t="s">
        <v>108</v>
      </c>
      <c r="G21" s="27" t="s">
        <v>117</v>
      </c>
      <c r="H21" s="28" t="n">
        <v>4</v>
      </c>
      <c r="I21" s="29" t="n">
        <v>1450</v>
      </c>
      <c r="J21" s="29" t="n">
        <v>5800</v>
      </c>
      <c r="K21" s="29" t="n">
        <f aca="false">H21*I21</f>
        <v>5800</v>
      </c>
      <c r="L21" s="29" t="n">
        <f aca="false">IFERROR(INDEX(Cat_Productos!$B$2:$B$6,MATCH(G21,Cat_Productos!$A$2:$A$6,0)),"")</f>
        <v>780</v>
      </c>
      <c r="M21" s="29" t="n">
        <f aca="false">IF(L21="","",H21*L21)</f>
        <v>3120</v>
      </c>
      <c r="N21" s="29" t="n">
        <f aca="false">IF(M21="","",J21-M21)</f>
        <v>2680</v>
      </c>
      <c r="O21" s="30" t="n">
        <f aca="false">IFERROR(N21/J21,0)</f>
        <v>0.462068965517241</v>
      </c>
      <c r="P21" s="27"/>
      <c r="Q21" s="27" t="s">
        <v>148</v>
      </c>
      <c r="R21" s="27" t="s">
        <v>149</v>
      </c>
      <c r="S21" s="27" t="n">
        <v>59</v>
      </c>
      <c r="T21" s="27"/>
    </row>
    <row r="22" customFormat="false" ht="15" hidden="false" customHeight="false" outlineLevel="0" collapsed="false">
      <c r="A22" s="26" t="n">
        <v>46025</v>
      </c>
      <c r="B22" s="27" t="n">
        <v>2026</v>
      </c>
      <c r="C22" s="27" t="n">
        <v>1</v>
      </c>
      <c r="D22" s="27" t="s">
        <v>80</v>
      </c>
      <c r="E22" s="27" t="s">
        <v>93</v>
      </c>
      <c r="F22" s="27" t="s">
        <v>108</v>
      </c>
      <c r="G22" s="27" t="s">
        <v>117</v>
      </c>
      <c r="H22" s="28" t="n">
        <v>3</v>
      </c>
      <c r="I22" s="29" t="n">
        <v>1450</v>
      </c>
      <c r="J22" s="29" t="n">
        <v>4350</v>
      </c>
      <c r="K22" s="29" t="n">
        <f aca="false">H22*I22</f>
        <v>4350</v>
      </c>
      <c r="L22" s="29" t="n">
        <f aca="false">IFERROR(INDEX(Cat_Productos!$B$2:$B$6,MATCH(G22,Cat_Productos!$A$2:$A$6,0)),"")</f>
        <v>780</v>
      </c>
      <c r="M22" s="29" t="n">
        <f aca="false">IF(L22="","",H22*L22)</f>
        <v>2340</v>
      </c>
      <c r="N22" s="29" t="n">
        <f aca="false">IF(M22="","",J22-M22)</f>
        <v>2010</v>
      </c>
      <c r="O22" s="30" t="n">
        <f aca="false">IFERROR(N22/J22,0)</f>
        <v>0.462068965517241</v>
      </c>
      <c r="P22" s="27"/>
      <c r="Q22" s="27" t="s">
        <v>148</v>
      </c>
      <c r="R22" s="27" t="s">
        <v>149</v>
      </c>
      <c r="S22" s="27" t="n">
        <v>65</v>
      </c>
      <c r="T22" s="27"/>
    </row>
    <row r="23" customFormat="false" ht="15" hidden="false" customHeight="false" outlineLevel="0" collapsed="false">
      <c r="A23" s="26" t="n">
        <v>46025</v>
      </c>
      <c r="B23" s="27" t="n">
        <v>2026</v>
      </c>
      <c r="C23" s="27" t="n">
        <v>1</v>
      </c>
      <c r="D23" s="27" t="s">
        <v>80</v>
      </c>
      <c r="E23" s="27" t="s">
        <v>91</v>
      </c>
      <c r="F23" s="27" t="s">
        <v>103</v>
      </c>
      <c r="G23" s="27" t="s">
        <v>117</v>
      </c>
      <c r="H23" s="28" t="n">
        <v>2</v>
      </c>
      <c r="I23" s="29" t="n">
        <v>1450</v>
      </c>
      <c r="J23" s="29" t="n">
        <v>2900</v>
      </c>
      <c r="K23" s="29" t="n">
        <f aca="false">H23*I23</f>
        <v>2900</v>
      </c>
      <c r="L23" s="29" t="n">
        <f aca="false">IFERROR(INDEX(Cat_Productos!$B$2:$B$6,MATCH(G23,Cat_Productos!$A$2:$A$6,0)),"")</f>
        <v>780</v>
      </c>
      <c r="M23" s="29" t="n">
        <f aca="false">IF(L23="","",H23*L23)</f>
        <v>1560</v>
      </c>
      <c r="N23" s="29" t="n">
        <f aca="false">IF(M23="","",J23-M23)</f>
        <v>1340</v>
      </c>
      <c r="O23" s="30" t="n">
        <f aca="false">IFERROR(N23/J23,0)</f>
        <v>0.462068965517241</v>
      </c>
      <c r="P23" s="27"/>
      <c r="Q23" s="27" t="s">
        <v>148</v>
      </c>
      <c r="R23" s="27" t="s">
        <v>149</v>
      </c>
      <c r="S23" s="27" t="n">
        <v>129</v>
      </c>
      <c r="T23" s="27"/>
    </row>
    <row r="24" customFormat="false" ht="15" hidden="false" customHeight="false" outlineLevel="0" collapsed="false">
      <c r="A24" s="26" t="n">
        <v>46025</v>
      </c>
      <c r="B24" s="27" t="n">
        <v>2026</v>
      </c>
      <c r="C24" s="27" t="n">
        <v>1</v>
      </c>
      <c r="D24" s="27" t="s">
        <v>80</v>
      </c>
      <c r="E24" s="27" t="s">
        <v>91</v>
      </c>
      <c r="F24" s="27" t="s">
        <v>107</v>
      </c>
      <c r="G24" s="27" t="s">
        <v>117</v>
      </c>
      <c r="H24" s="28" t="n">
        <v>4</v>
      </c>
      <c r="I24" s="29" t="n">
        <v>1450</v>
      </c>
      <c r="J24" s="29" t="n">
        <v>5800</v>
      </c>
      <c r="K24" s="29" t="n">
        <f aca="false">H24*I24</f>
        <v>5800</v>
      </c>
      <c r="L24" s="29" t="n">
        <f aca="false">IFERROR(INDEX(Cat_Productos!$B$2:$B$6,MATCH(G24,Cat_Productos!$A$2:$A$6,0)),"")</f>
        <v>780</v>
      </c>
      <c r="M24" s="29" t="n">
        <f aca="false">IF(L24="","",H24*L24)</f>
        <v>3120</v>
      </c>
      <c r="N24" s="29" t="n">
        <f aca="false">IF(M24="","",J24-M24)</f>
        <v>2680</v>
      </c>
      <c r="O24" s="30" t="n">
        <f aca="false">IFERROR(N24/J24,0)</f>
        <v>0.462068965517241</v>
      </c>
      <c r="P24" s="27"/>
      <c r="Q24" s="27" t="s">
        <v>148</v>
      </c>
      <c r="R24" s="27" t="s">
        <v>149</v>
      </c>
      <c r="S24" s="27" t="n">
        <v>81</v>
      </c>
      <c r="T24" s="27"/>
    </row>
    <row r="25" customFormat="false" ht="15" hidden="false" customHeight="false" outlineLevel="0" collapsed="false">
      <c r="A25" s="26" t="n">
        <v>46025</v>
      </c>
      <c r="B25" s="27" t="n">
        <v>2026</v>
      </c>
      <c r="C25" s="27" t="n">
        <v>1</v>
      </c>
      <c r="D25" s="27" t="s">
        <v>80</v>
      </c>
      <c r="E25" s="27" t="s">
        <v>91</v>
      </c>
      <c r="F25" s="27" t="s">
        <v>103</v>
      </c>
      <c r="G25" s="27" t="s">
        <v>117</v>
      </c>
      <c r="H25" s="28" t="n">
        <v>2</v>
      </c>
      <c r="I25" s="29" t="n">
        <v>1450</v>
      </c>
      <c r="J25" s="29" t="n">
        <v>2900</v>
      </c>
      <c r="K25" s="29" t="n">
        <f aca="false">H25*I25</f>
        <v>2900</v>
      </c>
      <c r="L25" s="29" t="n">
        <f aca="false">IFERROR(INDEX(Cat_Productos!$B$2:$B$6,MATCH(G25,Cat_Productos!$A$2:$A$6,0)),"")</f>
        <v>780</v>
      </c>
      <c r="M25" s="29" t="n">
        <f aca="false">IF(L25="","",H25*L25)</f>
        <v>1560</v>
      </c>
      <c r="N25" s="29" t="n">
        <f aca="false">IF(M25="","",J25-M25)</f>
        <v>1340</v>
      </c>
      <c r="O25" s="30" t="n">
        <f aca="false">IFERROR(N25/J25,0)</f>
        <v>0.462068965517241</v>
      </c>
      <c r="P25" s="27"/>
      <c r="Q25" s="27" t="s">
        <v>148</v>
      </c>
      <c r="R25" s="27" t="s">
        <v>149</v>
      </c>
      <c r="S25" s="27" t="n">
        <v>135</v>
      </c>
      <c r="T25" s="27"/>
    </row>
    <row r="26" customFormat="false" ht="15" hidden="false" customHeight="false" outlineLevel="0" collapsed="false">
      <c r="A26" s="26" t="n">
        <v>46025</v>
      </c>
      <c r="B26" s="27" t="n">
        <v>2026</v>
      </c>
      <c r="C26" s="27" t="n">
        <v>1</v>
      </c>
      <c r="D26" s="27" t="s">
        <v>80</v>
      </c>
      <c r="E26" s="27" t="s">
        <v>91</v>
      </c>
      <c r="F26" s="27" t="s">
        <v>107</v>
      </c>
      <c r="G26" s="27" t="s">
        <v>117</v>
      </c>
      <c r="H26" s="28" t="n">
        <v>6</v>
      </c>
      <c r="I26" s="29" t="n">
        <v>1450</v>
      </c>
      <c r="J26" s="29" t="n">
        <v>8700</v>
      </c>
      <c r="K26" s="29" t="n">
        <f aca="false">H26*I26</f>
        <v>8700</v>
      </c>
      <c r="L26" s="29" t="n">
        <f aca="false">IFERROR(INDEX(Cat_Productos!$B$2:$B$6,MATCH(G26,Cat_Productos!$A$2:$A$6,0)),"")</f>
        <v>780</v>
      </c>
      <c r="M26" s="29" t="n">
        <f aca="false">IF(L26="","",H26*L26)</f>
        <v>4680</v>
      </c>
      <c r="N26" s="29" t="n">
        <f aca="false">IF(M26="","",J26-M26)</f>
        <v>4020</v>
      </c>
      <c r="O26" s="30" t="n">
        <f aca="false">IFERROR(N26/J26,0)</f>
        <v>0.462068965517241</v>
      </c>
      <c r="P26" s="27"/>
      <c r="Q26" s="27" t="s">
        <v>148</v>
      </c>
      <c r="R26" s="27" t="s">
        <v>149</v>
      </c>
      <c r="S26" s="27" t="n">
        <v>91</v>
      </c>
      <c r="T26" s="27"/>
    </row>
    <row r="27" customFormat="false" ht="15" hidden="false" customHeight="false" outlineLevel="0" collapsed="false">
      <c r="A27" s="26" t="n">
        <v>46025</v>
      </c>
      <c r="B27" s="27" t="n">
        <v>2026</v>
      </c>
      <c r="C27" s="27" t="n">
        <v>1</v>
      </c>
      <c r="D27" s="27" t="s">
        <v>80</v>
      </c>
      <c r="E27" s="27" t="s">
        <v>93</v>
      </c>
      <c r="F27" s="27" t="s">
        <v>104</v>
      </c>
      <c r="G27" s="27" t="s">
        <v>117</v>
      </c>
      <c r="H27" s="28" t="n">
        <v>4</v>
      </c>
      <c r="I27" s="29" t="n">
        <v>1450</v>
      </c>
      <c r="J27" s="29" t="n">
        <v>5800</v>
      </c>
      <c r="K27" s="29" t="n">
        <f aca="false">H27*I27</f>
        <v>5800</v>
      </c>
      <c r="L27" s="29" t="n">
        <f aca="false">IFERROR(INDEX(Cat_Productos!$B$2:$B$6,MATCH(G27,Cat_Productos!$A$2:$A$6,0)),"")</f>
        <v>780</v>
      </c>
      <c r="M27" s="29" t="n">
        <f aca="false">IF(L27="","",H27*L27)</f>
        <v>3120</v>
      </c>
      <c r="N27" s="29" t="n">
        <f aca="false">IF(M27="","",J27-M27)</f>
        <v>2680</v>
      </c>
      <c r="O27" s="30" t="n">
        <f aca="false">IFERROR(N27/J27,0)</f>
        <v>0.462068965517241</v>
      </c>
      <c r="P27" s="27"/>
      <c r="Q27" s="27" t="s">
        <v>148</v>
      </c>
      <c r="R27" s="27" t="s">
        <v>149</v>
      </c>
      <c r="S27" s="27" t="n">
        <v>166</v>
      </c>
      <c r="T27" s="27"/>
    </row>
    <row r="28" customFormat="false" ht="15" hidden="false" customHeight="false" outlineLevel="0" collapsed="false">
      <c r="A28" s="26" t="n">
        <v>46027</v>
      </c>
      <c r="B28" s="27" t="n">
        <v>2026</v>
      </c>
      <c r="C28" s="27" t="n">
        <v>1</v>
      </c>
      <c r="D28" s="27" t="s">
        <v>80</v>
      </c>
      <c r="E28" s="27" t="s">
        <v>92</v>
      </c>
      <c r="F28" s="27" t="s">
        <v>105</v>
      </c>
      <c r="G28" s="27" t="s">
        <v>116</v>
      </c>
      <c r="H28" s="28" t="n">
        <v>2</v>
      </c>
      <c r="I28" s="29" t="n">
        <v>620</v>
      </c>
      <c r="J28" s="29" t="n">
        <v>1240</v>
      </c>
      <c r="K28" s="29" t="n">
        <f aca="false">H28*I28</f>
        <v>1240</v>
      </c>
      <c r="L28" s="29" t="n">
        <f aca="false">IFERROR(INDEX(Cat_Productos!$B$2:$B$6,MATCH(G28,Cat_Productos!$A$2:$A$6,0)),"")</f>
        <v>290</v>
      </c>
      <c r="M28" s="29" t="n">
        <f aca="false">IF(L28="","",H28*L28)</f>
        <v>580</v>
      </c>
      <c r="N28" s="29" t="n">
        <f aca="false">IF(M28="","",J28-M28)</f>
        <v>660</v>
      </c>
      <c r="O28" s="30" t="n">
        <f aca="false">IFERROR(N28/J28,0)</f>
        <v>0.532258064516129</v>
      </c>
      <c r="P28" s="27"/>
      <c r="Q28" s="27" t="s">
        <v>148</v>
      </c>
      <c r="R28" s="27" t="s">
        <v>149</v>
      </c>
      <c r="S28" s="27" t="n">
        <v>36</v>
      </c>
      <c r="T28" s="27"/>
    </row>
    <row r="29" customFormat="false" ht="15" hidden="false" customHeight="false" outlineLevel="0" collapsed="false">
      <c r="A29" s="26" t="n">
        <v>46027</v>
      </c>
      <c r="B29" s="27" t="n">
        <v>2026</v>
      </c>
      <c r="C29" s="27" t="n">
        <v>1</v>
      </c>
      <c r="D29" s="27" t="s">
        <v>80</v>
      </c>
      <c r="E29" s="27" t="s">
        <v>91</v>
      </c>
      <c r="F29" s="27" t="s">
        <v>107</v>
      </c>
      <c r="G29" s="27" t="s">
        <v>117</v>
      </c>
      <c r="H29" s="28" t="n">
        <v>4</v>
      </c>
      <c r="I29" s="29" t="n">
        <v>1450</v>
      </c>
      <c r="J29" s="29" t="n">
        <v>5800</v>
      </c>
      <c r="K29" s="29" t="n">
        <f aca="false">H29*I29</f>
        <v>5800</v>
      </c>
      <c r="L29" s="29" t="n">
        <f aca="false">IFERROR(INDEX(Cat_Productos!$B$2:$B$6,MATCH(G29,Cat_Productos!$A$2:$A$6,0)),"")</f>
        <v>780</v>
      </c>
      <c r="M29" s="29" t="n">
        <f aca="false">IF(L29="","",H29*L29)</f>
        <v>3120</v>
      </c>
      <c r="N29" s="29" t="n">
        <f aca="false">IF(M29="","",J29-M29)</f>
        <v>2680</v>
      </c>
      <c r="O29" s="30" t="n">
        <f aca="false">IFERROR(N29/J29,0)</f>
        <v>0.462068965517241</v>
      </c>
      <c r="P29" s="27"/>
      <c r="Q29" s="27" t="s">
        <v>148</v>
      </c>
      <c r="R29" s="27" t="s">
        <v>149</v>
      </c>
      <c r="S29" s="27" t="n">
        <v>78</v>
      </c>
      <c r="T29" s="27"/>
    </row>
    <row r="30" customFormat="false" ht="15" hidden="false" customHeight="false" outlineLevel="0" collapsed="false">
      <c r="A30" s="26" t="n">
        <v>46027</v>
      </c>
      <c r="B30" s="27" t="n">
        <v>2026</v>
      </c>
      <c r="C30" s="27" t="n">
        <v>1</v>
      </c>
      <c r="D30" s="27" t="s">
        <v>80</v>
      </c>
      <c r="E30" s="27" t="s">
        <v>91</v>
      </c>
      <c r="F30" s="27" t="s">
        <v>107</v>
      </c>
      <c r="G30" s="27" t="s">
        <v>117</v>
      </c>
      <c r="H30" s="28" t="n">
        <v>6</v>
      </c>
      <c r="I30" s="29" t="n">
        <v>1450</v>
      </c>
      <c r="J30" s="29" t="n">
        <v>8700</v>
      </c>
      <c r="K30" s="29" t="n">
        <f aca="false">H30*I30</f>
        <v>8700</v>
      </c>
      <c r="L30" s="29" t="n">
        <f aca="false">IFERROR(INDEX(Cat_Productos!$B$2:$B$6,MATCH(G30,Cat_Productos!$A$2:$A$6,0)),"")</f>
        <v>780</v>
      </c>
      <c r="M30" s="29" t="n">
        <f aca="false">IF(L30="","",H30*L30)</f>
        <v>4680</v>
      </c>
      <c r="N30" s="29" t="n">
        <f aca="false">IF(M30="","",J30-M30)</f>
        <v>4020</v>
      </c>
      <c r="O30" s="30" t="n">
        <f aca="false">IFERROR(N30/J30,0)</f>
        <v>0.462068965517241</v>
      </c>
      <c r="P30" s="27"/>
      <c r="Q30" s="27" t="s">
        <v>148</v>
      </c>
      <c r="R30" s="27" t="s">
        <v>149</v>
      </c>
      <c r="S30" s="27" t="n">
        <v>80</v>
      </c>
      <c r="T30" s="27"/>
    </row>
    <row r="31" customFormat="false" ht="15" hidden="false" customHeight="false" outlineLevel="0" collapsed="false">
      <c r="A31" s="26" t="n">
        <v>46027</v>
      </c>
      <c r="B31" s="27" t="n">
        <v>2026</v>
      </c>
      <c r="C31" s="27" t="n">
        <v>1</v>
      </c>
      <c r="D31" s="27" t="s">
        <v>80</v>
      </c>
      <c r="E31" s="27" t="s">
        <v>93</v>
      </c>
      <c r="F31" s="27" t="s">
        <v>108</v>
      </c>
      <c r="G31" s="27" t="s">
        <v>117</v>
      </c>
      <c r="H31" s="28" t="n">
        <v>4</v>
      </c>
      <c r="I31" s="29" t="n">
        <v>1450</v>
      </c>
      <c r="J31" s="29" t="n">
        <v>5800</v>
      </c>
      <c r="K31" s="29" t="n">
        <f aca="false">H31*I31</f>
        <v>5800</v>
      </c>
      <c r="L31" s="29" t="n">
        <f aca="false">IFERROR(INDEX(Cat_Productos!$B$2:$B$6,MATCH(G31,Cat_Productos!$A$2:$A$6,0)),"")</f>
        <v>780</v>
      </c>
      <c r="M31" s="29" t="n">
        <f aca="false">IF(L31="","",H31*L31)</f>
        <v>3120</v>
      </c>
      <c r="N31" s="29" t="n">
        <f aca="false">IF(M31="","",J31-M31)</f>
        <v>2680</v>
      </c>
      <c r="O31" s="30" t="n">
        <f aca="false">IFERROR(N31/J31,0)</f>
        <v>0.462068965517241</v>
      </c>
      <c r="P31" s="27"/>
      <c r="Q31" s="27" t="s">
        <v>148</v>
      </c>
      <c r="R31" s="27" t="s">
        <v>149</v>
      </c>
      <c r="S31" s="27" t="n">
        <v>54</v>
      </c>
      <c r="T31" s="27"/>
    </row>
    <row r="32" customFormat="false" ht="15" hidden="false" customHeight="false" outlineLevel="0" collapsed="false">
      <c r="A32" s="26" t="n">
        <v>46027</v>
      </c>
      <c r="B32" s="27" t="n">
        <v>2026</v>
      </c>
      <c r="C32" s="27" t="n">
        <v>1</v>
      </c>
      <c r="D32" s="27" t="s">
        <v>80</v>
      </c>
      <c r="E32" s="27" t="s">
        <v>93</v>
      </c>
      <c r="F32" s="27" t="s">
        <v>108</v>
      </c>
      <c r="G32" s="27" t="s">
        <v>116</v>
      </c>
      <c r="H32" s="28" t="n">
        <v>2</v>
      </c>
      <c r="I32" s="29" t="n">
        <v>620</v>
      </c>
      <c r="J32" s="29" t="n">
        <v>1240</v>
      </c>
      <c r="K32" s="29" t="n">
        <f aca="false">H32*I32</f>
        <v>1240</v>
      </c>
      <c r="L32" s="29" t="n">
        <f aca="false">IFERROR(INDEX(Cat_Productos!$B$2:$B$6,MATCH(G32,Cat_Productos!$A$2:$A$6,0)),"")</f>
        <v>290</v>
      </c>
      <c r="M32" s="29" t="n">
        <f aca="false">IF(L32="","",H32*L32)</f>
        <v>580</v>
      </c>
      <c r="N32" s="29" t="n">
        <f aca="false">IF(M32="","",J32-M32)</f>
        <v>660</v>
      </c>
      <c r="O32" s="30" t="n">
        <f aca="false">IFERROR(N32/J32,0)</f>
        <v>0.532258064516129</v>
      </c>
      <c r="P32" s="27"/>
      <c r="Q32" s="27" t="s">
        <v>148</v>
      </c>
      <c r="R32" s="27" t="s">
        <v>149</v>
      </c>
      <c r="S32" s="27" t="n">
        <v>72</v>
      </c>
      <c r="T32" s="27"/>
    </row>
    <row r="33" customFormat="false" ht="15" hidden="false" customHeight="false" outlineLevel="0" collapsed="false">
      <c r="A33" s="26" t="n">
        <v>46027</v>
      </c>
      <c r="B33" s="27" t="n">
        <v>2026</v>
      </c>
      <c r="C33" s="27" t="n">
        <v>1</v>
      </c>
      <c r="D33" s="27" t="s">
        <v>80</v>
      </c>
      <c r="E33" s="27" t="s">
        <v>91</v>
      </c>
      <c r="F33" s="27" t="s">
        <v>103</v>
      </c>
      <c r="G33" s="27" t="s">
        <v>117</v>
      </c>
      <c r="H33" s="28" t="n">
        <v>4</v>
      </c>
      <c r="I33" s="29" t="n">
        <v>1450</v>
      </c>
      <c r="J33" s="29" t="n">
        <v>5800</v>
      </c>
      <c r="K33" s="29" t="n">
        <f aca="false">H33*I33</f>
        <v>5800</v>
      </c>
      <c r="L33" s="29" t="n">
        <f aca="false">IFERROR(INDEX(Cat_Productos!$B$2:$B$6,MATCH(G33,Cat_Productos!$A$2:$A$6,0)),"")</f>
        <v>780</v>
      </c>
      <c r="M33" s="29" t="n">
        <f aca="false">IF(L33="","",H33*L33)</f>
        <v>3120</v>
      </c>
      <c r="N33" s="29" t="n">
        <f aca="false">IF(M33="","",J33-M33)</f>
        <v>2680</v>
      </c>
      <c r="O33" s="30" t="n">
        <f aca="false">IFERROR(N33/J33,0)</f>
        <v>0.462068965517241</v>
      </c>
      <c r="P33" s="27"/>
      <c r="Q33" s="27" t="s">
        <v>148</v>
      </c>
      <c r="R33" s="27" t="s">
        <v>149</v>
      </c>
      <c r="S33" s="27" t="n">
        <v>116</v>
      </c>
      <c r="T33" s="27"/>
    </row>
    <row r="34" customFormat="false" ht="15" hidden="false" customHeight="false" outlineLevel="0" collapsed="false">
      <c r="A34" s="26" t="n">
        <v>46027</v>
      </c>
      <c r="B34" s="27" t="n">
        <v>2026</v>
      </c>
      <c r="C34" s="27" t="n">
        <v>1</v>
      </c>
      <c r="D34" s="27" t="s">
        <v>80</v>
      </c>
      <c r="E34" s="27" t="s">
        <v>91</v>
      </c>
      <c r="F34" s="27" t="s">
        <v>103</v>
      </c>
      <c r="G34" s="27" t="s">
        <v>117</v>
      </c>
      <c r="H34" s="28" t="n">
        <v>6</v>
      </c>
      <c r="I34" s="29" t="n">
        <v>1450</v>
      </c>
      <c r="J34" s="29" t="n">
        <v>8700</v>
      </c>
      <c r="K34" s="29" t="n">
        <f aca="false">H34*I34</f>
        <v>8700</v>
      </c>
      <c r="L34" s="29" t="n">
        <f aca="false">IFERROR(INDEX(Cat_Productos!$B$2:$B$6,MATCH(G34,Cat_Productos!$A$2:$A$6,0)),"")</f>
        <v>780</v>
      </c>
      <c r="M34" s="29" t="n">
        <f aca="false">IF(L34="","",H34*L34)</f>
        <v>4680</v>
      </c>
      <c r="N34" s="29" t="n">
        <f aca="false">IF(M34="","",J34-M34)</f>
        <v>4020</v>
      </c>
      <c r="O34" s="30" t="n">
        <f aca="false">IFERROR(N34/J34,0)</f>
        <v>0.462068965517241</v>
      </c>
      <c r="P34" s="27"/>
      <c r="Q34" s="27" t="s">
        <v>148</v>
      </c>
      <c r="R34" s="27" t="s">
        <v>149</v>
      </c>
      <c r="S34" s="27" t="n">
        <v>118</v>
      </c>
      <c r="T34" s="27"/>
    </row>
    <row r="35" customFormat="false" ht="15" hidden="false" customHeight="false" outlineLevel="0" collapsed="false">
      <c r="A35" s="26" t="n">
        <v>46027</v>
      </c>
      <c r="B35" s="27" t="n">
        <v>2026</v>
      </c>
      <c r="C35" s="27" t="n">
        <v>1</v>
      </c>
      <c r="D35" s="27" t="s">
        <v>80</v>
      </c>
      <c r="E35" s="27" t="s">
        <v>92</v>
      </c>
      <c r="F35" s="27" t="s">
        <v>105</v>
      </c>
      <c r="G35" s="27" t="s">
        <v>117</v>
      </c>
      <c r="H35" s="28" t="n">
        <v>2</v>
      </c>
      <c r="I35" s="29" t="n">
        <v>1450</v>
      </c>
      <c r="J35" s="29" t="n">
        <v>2900</v>
      </c>
      <c r="K35" s="29" t="n">
        <f aca="false">H35*I35</f>
        <v>2900</v>
      </c>
      <c r="L35" s="29" t="n">
        <f aca="false">IFERROR(INDEX(Cat_Productos!$B$2:$B$6,MATCH(G35,Cat_Productos!$A$2:$A$6,0)),"")</f>
        <v>780</v>
      </c>
      <c r="M35" s="29" t="n">
        <f aca="false">IF(L35="","",H35*L35)</f>
        <v>1560</v>
      </c>
      <c r="N35" s="29" t="n">
        <f aca="false">IF(M35="","",J35-M35)</f>
        <v>1340</v>
      </c>
      <c r="O35" s="30" t="n">
        <f aca="false">IFERROR(N35/J35,0)</f>
        <v>0.462068965517241</v>
      </c>
      <c r="P35" s="27"/>
      <c r="Q35" s="27" t="s">
        <v>148</v>
      </c>
      <c r="R35" s="27" t="s">
        <v>149</v>
      </c>
      <c r="S35" s="27" t="n">
        <v>24</v>
      </c>
      <c r="T35" s="27"/>
    </row>
    <row r="36" customFormat="false" ht="15" hidden="false" customHeight="false" outlineLevel="0" collapsed="false">
      <c r="A36" s="26" t="n">
        <v>46027</v>
      </c>
      <c r="B36" s="27" t="n">
        <v>2026</v>
      </c>
      <c r="C36" s="27" t="n">
        <v>1</v>
      </c>
      <c r="D36" s="27" t="s">
        <v>80</v>
      </c>
      <c r="E36" s="27" t="s">
        <v>93</v>
      </c>
      <c r="F36" s="27" t="s">
        <v>108</v>
      </c>
      <c r="G36" s="27" t="s">
        <v>116</v>
      </c>
      <c r="H36" s="28" t="n">
        <v>4</v>
      </c>
      <c r="I36" s="29" t="n">
        <v>620</v>
      </c>
      <c r="J36" s="29" t="n">
        <v>2480</v>
      </c>
      <c r="K36" s="29" t="n">
        <f aca="false">H36*I36</f>
        <v>2480</v>
      </c>
      <c r="L36" s="29" t="n">
        <f aca="false">IFERROR(INDEX(Cat_Productos!$B$2:$B$6,MATCH(G36,Cat_Productos!$A$2:$A$6,0)),"")</f>
        <v>290</v>
      </c>
      <c r="M36" s="29" t="n">
        <f aca="false">IF(L36="","",H36*L36)</f>
        <v>1160</v>
      </c>
      <c r="N36" s="29" t="n">
        <f aca="false">IF(M36="","",J36-M36)</f>
        <v>1320</v>
      </c>
      <c r="O36" s="30" t="n">
        <f aca="false">IFERROR(N36/J36,0)</f>
        <v>0.532258064516129</v>
      </c>
      <c r="P36" s="27"/>
      <c r="Q36" s="27" t="s">
        <v>148</v>
      </c>
      <c r="R36" s="27" t="s">
        <v>149</v>
      </c>
      <c r="S36" s="27" t="n">
        <v>68</v>
      </c>
      <c r="T36" s="27"/>
    </row>
    <row r="37" customFormat="false" ht="15" hidden="false" customHeight="false" outlineLevel="0" collapsed="false">
      <c r="A37" s="26" t="n">
        <v>46027</v>
      </c>
      <c r="B37" s="27" t="n">
        <v>2026</v>
      </c>
      <c r="C37" s="27" t="n">
        <v>1</v>
      </c>
      <c r="D37" s="27" t="s">
        <v>80</v>
      </c>
      <c r="E37" s="27" t="s">
        <v>91</v>
      </c>
      <c r="F37" s="27" t="s">
        <v>103</v>
      </c>
      <c r="G37" s="27" t="s">
        <v>116</v>
      </c>
      <c r="H37" s="28" t="n">
        <v>2</v>
      </c>
      <c r="I37" s="29" t="n">
        <v>620</v>
      </c>
      <c r="J37" s="29" t="n">
        <v>1240</v>
      </c>
      <c r="K37" s="29" t="n">
        <f aca="false">H37*I37</f>
        <v>1240</v>
      </c>
      <c r="L37" s="29" t="n">
        <f aca="false">IFERROR(INDEX(Cat_Productos!$B$2:$B$6,MATCH(G37,Cat_Productos!$A$2:$A$6,0)),"")</f>
        <v>290</v>
      </c>
      <c r="M37" s="29" t="n">
        <f aca="false">IF(L37="","",H37*L37)</f>
        <v>580</v>
      </c>
      <c r="N37" s="29" t="n">
        <f aca="false">IF(M37="","",J37-M37)</f>
        <v>660</v>
      </c>
      <c r="O37" s="30" t="n">
        <f aca="false">IFERROR(N37/J37,0)</f>
        <v>0.532258064516129</v>
      </c>
      <c r="P37" s="27"/>
      <c r="Q37" s="27" t="s">
        <v>148</v>
      </c>
      <c r="R37" s="27" t="s">
        <v>149</v>
      </c>
      <c r="S37" s="27" t="n">
        <v>138</v>
      </c>
      <c r="T37" s="27"/>
    </row>
    <row r="38" customFormat="false" ht="15" hidden="false" customHeight="false" outlineLevel="0" collapsed="false">
      <c r="A38" s="26" t="n">
        <v>46027</v>
      </c>
      <c r="B38" s="27" t="n">
        <v>2026</v>
      </c>
      <c r="C38" s="27" t="n">
        <v>1</v>
      </c>
      <c r="D38" s="27" t="s">
        <v>80</v>
      </c>
      <c r="E38" s="27" t="s">
        <v>92</v>
      </c>
      <c r="F38" s="27" t="s">
        <v>105</v>
      </c>
      <c r="G38" s="27" t="s">
        <v>117</v>
      </c>
      <c r="H38" s="28" t="n">
        <v>2</v>
      </c>
      <c r="I38" s="29" t="n">
        <v>1450</v>
      </c>
      <c r="J38" s="29" t="n">
        <v>2900</v>
      </c>
      <c r="K38" s="29" t="n">
        <f aca="false">H38*I38</f>
        <v>2900</v>
      </c>
      <c r="L38" s="29" t="n">
        <f aca="false">IFERROR(INDEX(Cat_Productos!$B$2:$B$6,MATCH(G38,Cat_Productos!$A$2:$A$6,0)),"")</f>
        <v>780</v>
      </c>
      <c r="M38" s="29" t="n">
        <f aca="false">IF(L38="","",H38*L38)</f>
        <v>1560</v>
      </c>
      <c r="N38" s="29" t="n">
        <f aca="false">IF(M38="","",J38-M38)</f>
        <v>1340</v>
      </c>
      <c r="O38" s="30" t="n">
        <f aca="false">IFERROR(N38/J38,0)</f>
        <v>0.462068965517241</v>
      </c>
      <c r="P38" s="27"/>
      <c r="Q38" s="27" t="s">
        <v>148</v>
      </c>
      <c r="R38" s="27" t="s">
        <v>149</v>
      </c>
      <c r="S38" s="27" t="n">
        <v>20</v>
      </c>
      <c r="T38" s="27"/>
    </row>
    <row r="39" customFormat="false" ht="15" hidden="false" customHeight="false" outlineLevel="0" collapsed="false">
      <c r="A39" s="26" t="n">
        <v>46027</v>
      </c>
      <c r="B39" s="27" t="n">
        <v>2026</v>
      </c>
      <c r="C39" s="27" t="n">
        <v>1</v>
      </c>
      <c r="D39" s="27" t="s">
        <v>80</v>
      </c>
      <c r="E39" s="27" t="s">
        <v>92</v>
      </c>
      <c r="F39" s="27" t="s">
        <v>105</v>
      </c>
      <c r="G39" s="27" t="s">
        <v>117</v>
      </c>
      <c r="H39" s="28" t="n">
        <v>2</v>
      </c>
      <c r="I39" s="29" t="n">
        <v>1450</v>
      </c>
      <c r="J39" s="29" t="n">
        <v>2900</v>
      </c>
      <c r="K39" s="29" t="n">
        <f aca="false">H39*I39</f>
        <v>2900</v>
      </c>
      <c r="L39" s="29" t="n">
        <f aca="false">IFERROR(INDEX(Cat_Productos!$B$2:$B$6,MATCH(G39,Cat_Productos!$A$2:$A$6,0)),"")</f>
        <v>780</v>
      </c>
      <c r="M39" s="29" t="n">
        <f aca="false">IF(L39="","",H39*L39)</f>
        <v>1560</v>
      </c>
      <c r="N39" s="29" t="n">
        <f aca="false">IF(M39="","",J39-M39)</f>
        <v>1340</v>
      </c>
      <c r="O39" s="30" t="n">
        <f aca="false">IFERROR(N39/J39,0)</f>
        <v>0.462068965517241</v>
      </c>
      <c r="P39" s="27"/>
      <c r="Q39" s="27" t="s">
        <v>148</v>
      </c>
      <c r="R39" s="27" t="s">
        <v>149</v>
      </c>
      <c r="S39" s="27" t="n">
        <v>18</v>
      </c>
      <c r="T39" s="27"/>
    </row>
    <row r="40" customFormat="false" ht="15" hidden="false" customHeight="false" outlineLevel="0" collapsed="false">
      <c r="A40" s="26" t="n">
        <v>46027</v>
      </c>
      <c r="B40" s="27" t="n">
        <v>2026</v>
      </c>
      <c r="C40" s="27" t="n">
        <v>1</v>
      </c>
      <c r="D40" s="27" t="s">
        <v>80</v>
      </c>
      <c r="E40" s="27" t="s">
        <v>93</v>
      </c>
      <c r="F40" s="27" t="s">
        <v>104</v>
      </c>
      <c r="G40" s="27" t="s">
        <v>116</v>
      </c>
      <c r="H40" s="28" t="n">
        <v>6</v>
      </c>
      <c r="I40" s="29" t="n">
        <v>620</v>
      </c>
      <c r="J40" s="29" t="n">
        <v>3720</v>
      </c>
      <c r="K40" s="29" t="n">
        <f aca="false">H40*I40</f>
        <v>3720</v>
      </c>
      <c r="L40" s="29" t="n">
        <f aca="false">IFERROR(INDEX(Cat_Productos!$B$2:$B$6,MATCH(G40,Cat_Productos!$A$2:$A$6,0)),"")</f>
        <v>290</v>
      </c>
      <c r="M40" s="29" t="n">
        <f aca="false">IF(L40="","",H40*L40)</f>
        <v>1740</v>
      </c>
      <c r="N40" s="29" t="n">
        <f aca="false">IF(M40="","",J40-M40)</f>
        <v>1980</v>
      </c>
      <c r="O40" s="30" t="n">
        <f aca="false">IFERROR(N40/J40,0)</f>
        <v>0.532258064516129</v>
      </c>
      <c r="P40" s="27"/>
      <c r="Q40" s="27" t="s">
        <v>148</v>
      </c>
      <c r="R40" s="27" t="s">
        <v>149</v>
      </c>
      <c r="S40" s="27" t="n">
        <v>181</v>
      </c>
      <c r="T40" s="27"/>
    </row>
    <row r="41" customFormat="false" ht="15" hidden="false" customHeight="false" outlineLevel="0" collapsed="false">
      <c r="A41" s="26" t="n">
        <v>46027</v>
      </c>
      <c r="B41" s="27" t="n">
        <v>2026</v>
      </c>
      <c r="C41" s="27" t="n">
        <v>1</v>
      </c>
      <c r="D41" s="27" t="s">
        <v>80</v>
      </c>
      <c r="E41" s="27" t="s">
        <v>92</v>
      </c>
      <c r="F41" s="27" t="s">
        <v>105</v>
      </c>
      <c r="G41" s="27" t="s">
        <v>116</v>
      </c>
      <c r="H41" s="28" t="n">
        <v>2</v>
      </c>
      <c r="I41" s="29" t="n">
        <v>620</v>
      </c>
      <c r="J41" s="29" t="n">
        <v>1240</v>
      </c>
      <c r="K41" s="29" t="n">
        <f aca="false">H41*I41</f>
        <v>1240</v>
      </c>
      <c r="L41" s="29" t="n">
        <f aca="false">IFERROR(INDEX(Cat_Productos!$B$2:$B$6,MATCH(G41,Cat_Productos!$A$2:$A$6,0)),"")</f>
        <v>290</v>
      </c>
      <c r="M41" s="29" t="n">
        <f aca="false">IF(L41="","",H41*L41)</f>
        <v>580</v>
      </c>
      <c r="N41" s="29" t="n">
        <f aca="false">IF(M41="","",J41-M41)</f>
        <v>660</v>
      </c>
      <c r="O41" s="30" t="n">
        <f aca="false">IFERROR(N41/J41,0)</f>
        <v>0.532258064516129</v>
      </c>
      <c r="P41" s="27"/>
      <c r="Q41" s="27" t="s">
        <v>148</v>
      </c>
      <c r="R41" s="27" t="s">
        <v>149</v>
      </c>
      <c r="S41" s="27" t="n">
        <v>30</v>
      </c>
      <c r="T41" s="27"/>
    </row>
    <row r="42" customFormat="false" ht="15" hidden="false" customHeight="false" outlineLevel="0" collapsed="false">
      <c r="A42" s="26" t="n">
        <v>46027</v>
      </c>
      <c r="B42" s="27" t="n">
        <v>2026</v>
      </c>
      <c r="C42" s="27" t="n">
        <v>1</v>
      </c>
      <c r="D42" s="27" t="s">
        <v>80</v>
      </c>
      <c r="E42" s="27" t="s">
        <v>91</v>
      </c>
      <c r="F42" s="27" t="s">
        <v>103</v>
      </c>
      <c r="G42" s="27" t="s">
        <v>116</v>
      </c>
      <c r="H42" s="28" t="n">
        <v>4</v>
      </c>
      <c r="I42" s="29" t="n">
        <v>620</v>
      </c>
      <c r="J42" s="29" t="n">
        <v>2480</v>
      </c>
      <c r="K42" s="29" t="n">
        <f aca="false">H42*I42</f>
        <v>2480</v>
      </c>
      <c r="L42" s="29" t="n">
        <f aca="false">IFERROR(INDEX(Cat_Productos!$B$2:$B$6,MATCH(G42,Cat_Productos!$A$2:$A$6,0)),"")</f>
        <v>290</v>
      </c>
      <c r="M42" s="29" t="n">
        <f aca="false">IF(L42="","",H42*L42)</f>
        <v>1160</v>
      </c>
      <c r="N42" s="29" t="n">
        <f aca="false">IF(M42="","",J42-M42)</f>
        <v>1320</v>
      </c>
      <c r="O42" s="30" t="n">
        <f aca="false">IFERROR(N42/J42,0)</f>
        <v>0.532258064516129</v>
      </c>
      <c r="P42" s="27"/>
      <c r="Q42" s="27" t="s">
        <v>148</v>
      </c>
      <c r="R42" s="27" t="s">
        <v>149</v>
      </c>
      <c r="S42" s="27" t="n">
        <v>136</v>
      </c>
      <c r="T42" s="27"/>
    </row>
    <row r="43" customFormat="false" ht="15" hidden="false" customHeight="false" outlineLevel="0" collapsed="false">
      <c r="A43" s="26" t="n">
        <v>46027</v>
      </c>
      <c r="B43" s="27" t="n">
        <v>2026</v>
      </c>
      <c r="C43" s="27" t="n">
        <v>1</v>
      </c>
      <c r="D43" s="27" t="s">
        <v>80</v>
      </c>
      <c r="E43" s="27" t="s">
        <v>91</v>
      </c>
      <c r="F43" s="27" t="s">
        <v>103</v>
      </c>
      <c r="G43" s="27" t="s">
        <v>117</v>
      </c>
      <c r="H43" s="28" t="n">
        <v>6</v>
      </c>
      <c r="I43" s="29" t="n">
        <v>1450</v>
      </c>
      <c r="J43" s="29" t="n">
        <v>8700</v>
      </c>
      <c r="K43" s="29" t="n">
        <f aca="false">H43*I43</f>
        <v>8700</v>
      </c>
      <c r="L43" s="29" t="n">
        <f aca="false">IFERROR(INDEX(Cat_Productos!$B$2:$B$6,MATCH(G43,Cat_Productos!$A$2:$A$6,0)),"")</f>
        <v>780</v>
      </c>
      <c r="M43" s="29" t="n">
        <f aca="false">IF(L43="","",H43*L43)</f>
        <v>4680</v>
      </c>
      <c r="N43" s="29" t="n">
        <f aca="false">IF(M43="","",J43-M43)</f>
        <v>4020</v>
      </c>
      <c r="O43" s="30" t="n">
        <f aca="false">IFERROR(N43/J43,0)</f>
        <v>0.462068965517241</v>
      </c>
      <c r="P43" s="27"/>
      <c r="Q43" s="27" t="s">
        <v>148</v>
      </c>
      <c r="R43" s="27" t="s">
        <v>149</v>
      </c>
      <c r="S43" s="27" t="n">
        <v>132</v>
      </c>
      <c r="T43" s="27"/>
    </row>
    <row r="44" customFormat="false" ht="15" hidden="false" customHeight="false" outlineLevel="0" collapsed="false">
      <c r="A44" s="26" t="n">
        <v>46029</v>
      </c>
      <c r="B44" s="27" t="n">
        <v>2026</v>
      </c>
      <c r="C44" s="27" t="n">
        <v>1</v>
      </c>
      <c r="D44" s="27" t="s">
        <v>80</v>
      </c>
      <c r="E44" s="27" t="s">
        <v>93</v>
      </c>
      <c r="F44" s="27" t="s">
        <v>108</v>
      </c>
      <c r="G44" s="27" t="s">
        <v>114</v>
      </c>
      <c r="H44" s="28" t="n">
        <v>4</v>
      </c>
      <c r="I44" s="29" t="n">
        <v>23900</v>
      </c>
      <c r="J44" s="29" t="n">
        <v>95600</v>
      </c>
      <c r="K44" s="29" t="n">
        <f aca="false">H44*I44</f>
        <v>95600</v>
      </c>
      <c r="L44" s="29" t="n">
        <f aca="false">IFERROR(INDEX(Cat_Productos!$B$2:$B$6,MATCH(G44,Cat_Productos!$A$2:$A$6,0)),"")</f>
        <v>19200</v>
      </c>
      <c r="M44" s="29" t="n">
        <f aca="false">IF(L44="","",H44*L44)</f>
        <v>76800</v>
      </c>
      <c r="N44" s="29" t="n">
        <f aca="false">IF(M44="","",J44-M44)</f>
        <v>18800</v>
      </c>
      <c r="O44" s="30" t="n">
        <f aca="false">IFERROR(N44/J44,0)</f>
        <v>0.196652719665272</v>
      </c>
      <c r="P44" s="27"/>
      <c r="Q44" s="27" t="s">
        <v>148</v>
      </c>
      <c r="R44" s="27" t="s">
        <v>149</v>
      </c>
      <c r="S44" s="27" t="n">
        <v>51</v>
      </c>
      <c r="T44" s="27"/>
    </row>
    <row r="45" customFormat="false" ht="15" hidden="false" customHeight="false" outlineLevel="0" collapsed="false">
      <c r="A45" s="26" t="n">
        <v>46029</v>
      </c>
      <c r="B45" s="27" t="n">
        <v>2026</v>
      </c>
      <c r="C45" s="27" t="n">
        <v>1</v>
      </c>
      <c r="D45" s="27" t="s">
        <v>80</v>
      </c>
      <c r="E45" s="27" t="s">
        <v>92</v>
      </c>
      <c r="F45" s="27" t="s">
        <v>105</v>
      </c>
      <c r="G45" s="27" t="s">
        <v>116</v>
      </c>
      <c r="H45" s="28" t="n">
        <v>1</v>
      </c>
      <c r="I45" s="29" t="n">
        <v>620</v>
      </c>
      <c r="J45" s="29" t="n">
        <v>620</v>
      </c>
      <c r="K45" s="29" t="n">
        <f aca="false">H45*I45</f>
        <v>620</v>
      </c>
      <c r="L45" s="29" t="n">
        <f aca="false">IFERROR(INDEX(Cat_Productos!$B$2:$B$6,MATCH(G45,Cat_Productos!$A$2:$A$6,0)),"")</f>
        <v>290</v>
      </c>
      <c r="M45" s="29" t="n">
        <f aca="false">IF(L45="","",H45*L45)</f>
        <v>290</v>
      </c>
      <c r="N45" s="29" t="n">
        <f aca="false">IF(M45="","",J45-M45)</f>
        <v>330</v>
      </c>
      <c r="O45" s="30" t="n">
        <f aca="false">IFERROR(N45/J45,0)</f>
        <v>0.532258064516129</v>
      </c>
      <c r="P45" s="27"/>
      <c r="Q45" s="27" t="s">
        <v>148</v>
      </c>
      <c r="R45" s="27" t="s">
        <v>149</v>
      </c>
      <c r="S45" s="27" t="n">
        <v>49</v>
      </c>
      <c r="T45" s="27"/>
    </row>
    <row r="46" customFormat="false" ht="15" hidden="false" customHeight="false" outlineLevel="0" collapsed="false">
      <c r="A46" s="26" t="n">
        <v>46029</v>
      </c>
      <c r="B46" s="27" t="n">
        <v>2026</v>
      </c>
      <c r="C46" s="27" t="n">
        <v>1</v>
      </c>
      <c r="D46" s="27" t="s">
        <v>80</v>
      </c>
      <c r="E46" s="27" t="s">
        <v>92</v>
      </c>
      <c r="F46" s="27" t="s">
        <v>105</v>
      </c>
      <c r="G46" s="27" t="s">
        <v>117</v>
      </c>
      <c r="H46" s="28" t="n">
        <v>4</v>
      </c>
      <c r="I46" s="29" t="n">
        <v>1450</v>
      </c>
      <c r="J46" s="29" t="n">
        <v>5800</v>
      </c>
      <c r="K46" s="29" t="n">
        <f aca="false">H46*I46</f>
        <v>5800</v>
      </c>
      <c r="L46" s="29" t="n">
        <f aca="false">IFERROR(INDEX(Cat_Productos!$B$2:$B$6,MATCH(G46,Cat_Productos!$A$2:$A$6,0)),"")</f>
        <v>780</v>
      </c>
      <c r="M46" s="29" t="n">
        <f aca="false">IF(L46="","",H46*L46)</f>
        <v>3120</v>
      </c>
      <c r="N46" s="29" t="n">
        <f aca="false">IF(M46="","",J46-M46)</f>
        <v>2680</v>
      </c>
      <c r="O46" s="30" t="n">
        <f aca="false">IFERROR(N46/J46,0)</f>
        <v>0.462068965517241</v>
      </c>
      <c r="P46" s="27"/>
      <c r="Q46" s="27" t="s">
        <v>148</v>
      </c>
      <c r="R46" s="27" t="s">
        <v>149</v>
      </c>
      <c r="S46" s="27" t="n">
        <v>17</v>
      </c>
      <c r="T46" s="27"/>
    </row>
    <row r="47" customFormat="false" ht="15" hidden="false" customHeight="false" outlineLevel="0" collapsed="false">
      <c r="A47" s="26" t="n">
        <v>46029</v>
      </c>
      <c r="B47" s="27" t="n">
        <v>2026</v>
      </c>
      <c r="C47" s="27" t="n">
        <v>1</v>
      </c>
      <c r="D47" s="27" t="s">
        <v>80</v>
      </c>
      <c r="E47" s="27" t="s">
        <v>91</v>
      </c>
      <c r="F47" s="27" t="s">
        <v>107</v>
      </c>
      <c r="G47" s="27" t="s">
        <v>117</v>
      </c>
      <c r="H47" s="28" t="n">
        <v>6</v>
      </c>
      <c r="I47" s="29" t="n">
        <v>1450</v>
      </c>
      <c r="J47" s="29" t="n">
        <v>8700</v>
      </c>
      <c r="K47" s="29" t="n">
        <f aca="false">H47*I47</f>
        <v>8700</v>
      </c>
      <c r="L47" s="29" t="n">
        <f aca="false">IFERROR(INDEX(Cat_Productos!$B$2:$B$6,MATCH(G47,Cat_Productos!$A$2:$A$6,0)),"")</f>
        <v>780</v>
      </c>
      <c r="M47" s="29" t="n">
        <f aca="false">IF(L47="","",H47*L47)</f>
        <v>4680</v>
      </c>
      <c r="N47" s="29" t="n">
        <f aca="false">IF(M47="","",J47-M47)</f>
        <v>4020</v>
      </c>
      <c r="O47" s="30" t="n">
        <f aca="false">IFERROR(N47/J47,0)</f>
        <v>0.462068965517241</v>
      </c>
      <c r="P47" s="27"/>
      <c r="Q47" s="27" t="s">
        <v>148</v>
      </c>
      <c r="R47" s="27" t="s">
        <v>149</v>
      </c>
      <c r="S47" s="27" t="n">
        <v>85</v>
      </c>
      <c r="T47" s="27"/>
    </row>
    <row r="48" customFormat="false" ht="15" hidden="false" customHeight="false" outlineLevel="0" collapsed="false">
      <c r="A48" s="26" t="n">
        <v>46029</v>
      </c>
      <c r="B48" s="27" t="n">
        <v>2026</v>
      </c>
      <c r="C48" s="27" t="n">
        <v>1</v>
      </c>
      <c r="D48" s="27" t="s">
        <v>80</v>
      </c>
      <c r="E48" s="27" t="s">
        <v>93</v>
      </c>
      <c r="F48" s="27" t="s">
        <v>108</v>
      </c>
      <c r="G48" s="27" t="s">
        <v>117</v>
      </c>
      <c r="H48" s="28" t="n">
        <v>4</v>
      </c>
      <c r="I48" s="29" t="n">
        <v>1450</v>
      </c>
      <c r="J48" s="29" t="n">
        <v>5800</v>
      </c>
      <c r="K48" s="29" t="n">
        <f aca="false">H48*I48</f>
        <v>5800</v>
      </c>
      <c r="L48" s="29" t="n">
        <f aca="false">IFERROR(INDEX(Cat_Productos!$B$2:$B$6,MATCH(G48,Cat_Productos!$A$2:$A$6,0)),"")</f>
        <v>780</v>
      </c>
      <c r="M48" s="29" t="n">
        <f aca="false">IF(L48="","",H48*L48)</f>
        <v>3120</v>
      </c>
      <c r="N48" s="29" t="n">
        <f aca="false">IF(M48="","",J48-M48)</f>
        <v>2680</v>
      </c>
      <c r="O48" s="30" t="n">
        <f aca="false">IFERROR(N48/J48,0)</f>
        <v>0.462068965517241</v>
      </c>
      <c r="P48" s="27"/>
      <c r="Q48" s="27" t="s">
        <v>148</v>
      </c>
      <c r="R48" s="27" t="s">
        <v>149</v>
      </c>
      <c r="S48" s="27" t="n">
        <v>55</v>
      </c>
      <c r="T48" s="27"/>
    </row>
    <row r="49" customFormat="false" ht="15" hidden="false" customHeight="false" outlineLevel="0" collapsed="false">
      <c r="A49" s="26" t="n">
        <v>46029</v>
      </c>
      <c r="B49" s="27" t="n">
        <v>2026</v>
      </c>
      <c r="C49" s="27" t="n">
        <v>1</v>
      </c>
      <c r="D49" s="27" t="s">
        <v>80</v>
      </c>
      <c r="E49" s="27" t="s">
        <v>92</v>
      </c>
      <c r="F49" s="27" t="s">
        <v>105</v>
      </c>
      <c r="G49" s="27" t="s">
        <v>117</v>
      </c>
      <c r="H49" s="28" t="n">
        <v>4</v>
      </c>
      <c r="I49" s="29" t="n">
        <v>1450</v>
      </c>
      <c r="J49" s="29" t="n">
        <v>5800</v>
      </c>
      <c r="K49" s="29" t="n">
        <f aca="false">H49*I49</f>
        <v>5800</v>
      </c>
      <c r="L49" s="29" t="n">
        <f aca="false">IFERROR(INDEX(Cat_Productos!$B$2:$B$6,MATCH(G49,Cat_Productos!$A$2:$A$6,0)),"")</f>
        <v>780</v>
      </c>
      <c r="M49" s="29" t="n">
        <f aca="false">IF(L49="","",H49*L49)</f>
        <v>3120</v>
      </c>
      <c r="N49" s="29" t="n">
        <f aca="false">IF(M49="","",J49-M49)</f>
        <v>2680</v>
      </c>
      <c r="O49" s="30" t="n">
        <f aca="false">IFERROR(N49/J49,0)</f>
        <v>0.462068965517241</v>
      </c>
      <c r="P49" s="27"/>
      <c r="Q49" s="27" t="s">
        <v>148</v>
      </c>
      <c r="R49" s="27" t="s">
        <v>149</v>
      </c>
      <c r="S49" s="27" t="n">
        <v>19</v>
      </c>
      <c r="T49" s="27"/>
    </row>
    <row r="50" customFormat="false" ht="15" hidden="false" customHeight="false" outlineLevel="0" collapsed="false">
      <c r="A50" s="26" t="n">
        <v>46029</v>
      </c>
      <c r="B50" s="27" t="n">
        <v>2026</v>
      </c>
      <c r="C50" s="27" t="n">
        <v>1</v>
      </c>
      <c r="D50" s="27" t="s">
        <v>80</v>
      </c>
      <c r="E50" s="27" t="s">
        <v>91</v>
      </c>
      <c r="F50" s="27" t="s">
        <v>103</v>
      </c>
      <c r="G50" s="27" t="s">
        <v>117</v>
      </c>
      <c r="H50" s="28" t="n">
        <v>6</v>
      </c>
      <c r="I50" s="29" t="n">
        <v>1450</v>
      </c>
      <c r="J50" s="29" t="n">
        <v>8700</v>
      </c>
      <c r="K50" s="29" t="n">
        <f aca="false">H50*I50</f>
        <v>8700</v>
      </c>
      <c r="L50" s="29" t="n">
        <f aca="false">IFERROR(INDEX(Cat_Productos!$B$2:$B$6,MATCH(G50,Cat_Productos!$A$2:$A$6,0)),"")</f>
        <v>780</v>
      </c>
      <c r="M50" s="29" t="n">
        <f aca="false">IF(L50="","",H50*L50)</f>
        <v>4680</v>
      </c>
      <c r="N50" s="29" t="n">
        <f aca="false">IF(M50="","",J50-M50)</f>
        <v>4020</v>
      </c>
      <c r="O50" s="30" t="n">
        <f aca="false">IFERROR(N50/J50,0)</f>
        <v>0.462068965517241</v>
      </c>
      <c r="P50" s="27"/>
      <c r="Q50" s="27" t="s">
        <v>148</v>
      </c>
      <c r="R50" s="27" t="s">
        <v>149</v>
      </c>
      <c r="S50" s="27" t="n">
        <v>127</v>
      </c>
      <c r="T50" s="27"/>
    </row>
    <row r="51" customFormat="false" ht="15" hidden="false" customHeight="false" outlineLevel="0" collapsed="false">
      <c r="A51" s="26" t="n">
        <v>46029</v>
      </c>
      <c r="B51" s="27" t="n">
        <v>2026</v>
      </c>
      <c r="C51" s="27" t="n">
        <v>1</v>
      </c>
      <c r="D51" s="27" t="s">
        <v>80</v>
      </c>
      <c r="E51" s="27" t="s">
        <v>93</v>
      </c>
      <c r="F51" s="27" t="s">
        <v>104</v>
      </c>
      <c r="G51" s="27" t="s">
        <v>116</v>
      </c>
      <c r="H51" s="28" t="n">
        <v>4</v>
      </c>
      <c r="I51" s="29" t="n">
        <v>620</v>
      </c>
      <c r="J51" s="29" t="n">
        <v>2480</v>
      </c>
      <c r="K51" s="29" t="n">
        <f aca="false">H51*I51</f>
        <v>2480</v>
      </c>
      <c r="L51" s="29" t="n">
        <f aca="false">IFERROR(INDEX(Cat_Productos!$B$2:$B$6,MATCH(G51,Cat_Productos!$A$2:$A$6,0)),"")</f>
        <v>290</v>
      </c>
      <c r="M51" s="29" t="n">
        <f aca="false">IF(L51="","",H51*L51)</f>
        <v>1160</v>
      </c>
      <c r="N51" s="29" t="n">
        <f aca="false">IF(M51="","",J51-M51)</f>
        <v>1320</v>
      </c>
      <c r="O51" s="30" t="n">
        <f aca="false">IFERROR(N51/J51,0)</f>
        <v>0.532258064516129</v>
      </c>
      <c r="P51" s="27"/>
      <c r="Q51" s="27" t="s">
        <v>148</v>
      </c>
      <c r="R51" s="27" t="s">
        <v>149</v>
      </c>
      <c r="S51" s="27" t="n">
        <v>176</v>
      </c>
      <c r="T51" s="27"/>
    </row>
    <row r="52" customFormat="false" ht="15" hidden="false" customHeight="false" outlineLevel="0" collapsed="false">
      <c r="A52" s="26" t="n">
        <v>46029</v>
      </c>
      <c r="B52" s="27" t="n">
        <v>2026</v>
      </c>
      <c r="C52" s="27" t="n">
        <v>1</v>
      </c>
      <c r="D52" s="27" t="s">
        <v>80</v>
      </c>
      <c r="E52" s="27" t="s">
        <v>92</v>
      </c>
      <c r="F52" s="27" t="s">
        <v>105</v>
      </c>
      <c r="G52" s="27" t="s">
        <v>117</v>
      </c>
      <c r="H52" s="28" t="n">
        <v>2</v>
      </c>
      <c r="I52" s="29" t="n">
        <v>1450</v>
      </c>
      <c r="J52" s="29" t="n">
        <v>2900</v>
      </c>
      <c r="K52" s="29" t="n">
        <f aca="false">H52*I52</f>
        <v>2900</v>
      </c>
      <c r="L52" s="29" t="n">
        <f aca="false">IFERROR(INDEX(Cat_Productos!$B$2:$B$6,MATCH(G52,Cat_Productos!$A$2:$A$6,0)),"")</f>
        <v>780</v>
      </c>
      <c r="M52" s="29" t="n">
        <f aca="false">IF(L52="","",H52*L52)</f>
        <v>1560</v>
      </c>
      <c r="N52" s="29" t="n">
        <f aca="false">IF(M52="","",J52-M52)</f>
        <v>1340</v>
      </c>
      <c r="O52" s="30" t="n">
        <f aca="false">IFERROR(N52/J52,0)</f>
        <v>0.462068965517241</v>
      </c>
      <c r="P52" s="27"/>
      <c r="Q52" s="27" t="s">
        <v>148</v>
      </c>
      <c r="R52" s="27" t="s">
        <v>149</v>
      </c>
      <c r="S52" s="27" t="n">
        <v>23</v>
      </c>
      <c r="T52" s="27"/>
    </row>
    <row r="53" customFormat="false" ht="15" hidden="false" customHeight="false" outlineLevel="0" collapsed="false">
      <c r="A53" s="26" t="n">
        <v>46029</v>
      </c>
      <c r="B53" s="27" t="n">
        <v>2026</v>
      </c>
      <c r="C53" s="27" t="n">
        <v>1</v>
      </c>
      <c r="D53" s="27" t="s">
        <v>80</v>
      </c>
      <c r="E53" s="27" t="s">
        <v>91</v>
      </c>
      <c r="F53" s="27" t="s">
        <v>103</v>
      </c>
      <c r="G53" s="27" t="s">
        <v>117</v>
      </c>
      <c r="H53" s="28" t="n">
        <v>2</v>
      </c>
      <c r="I53" s="29" t="n">
        <v>1450</v>
      </c>
      <c r="J53" s="29" t="n">
        <v>2900</v>
      </c>
      <c r="K53" s="29" t="n">
        <f aca="false">H53*I53</f>
        <v>2900</v>
      </c>
      <c r="L53" s="29" t="n">
        <f aca="false">IFERROR(INDEX(Cat_Productos!$B$2:$B$6,MATCH(G53,Cat_Productos!$A$2:$A$6,0)),"")</f>
        <v>780</v>
      </c>
      <c r="M53" s="29" t="n">
        <f aca="false">IF(L53="","",H53*L53)</f>
        <v>1560</v>
      </c>
      <c r="N53" s="29" t="n">
        <f aca="false">IF(M53="","",J53-M53)</f>
        <v>1340</v>
      </c>
      <c r="O53" s="30" t="n">
        <f aca="false">IFERROR(N53/J53,0)</f>
        <v>0.462068965517241</v>
      </c>
      <c r="P53" s="27"/>
      <c r="Q53" s="27" t="s">
        <v>148</v>
      </c>
      <c r="R53" s="27" t="s">
        <v>149</v>
      </c>
      <c r="S53" s="27" t="n">
        <v>131</v>
      </c>
      <c r="T53" s="27"/>
    </row>
    <row r="54" customFormat="false" ht="15" hidden="false" customHeight="false" outlineLevel="0" collapsed="false">
      <c r="A54" s="26" t="n">
        <v>46031</v>
      </c>
      <c r="B54" s="27" t="n">
        <v>2026</v>
      </c>
      <c r="C54" s="27" t="n">
        <v>1</v>
      </c>
      <c r="D54" s="27" t="s">
        <v>80</v>
      </c>
      <c r="E54" s="27" t="s">
        <v>92</v>
      </c>
      <c r="F54" s="27" t="s">
        <v>105</v>
      </c>
      <c r="G54" s="27" t="s">
        <v>114</v>
      </c>
      <c r="H54" s="28" t="n">
        <v>6</v>
      </c>
      <c r="I54" s="29" t="n">
        <v>23900</v>
      </c>
      <c r="J54" s="29" t="n">
        <v>143400</v>
      </c>
      <c r="K54" s="29" t="n">
        <f aca="false">H54*I54</f>
        <v>143400</v>
      </c>
      <c r="L54" s="29" t="n">
        <f aca="false">IFERROR(INDEX(Cat_Productos!$B$2:$B$6,MATCH(G54,Cat_Productos!$A$2:$A$6,0)),"")</f>
        <v>19200</v>
      </c>
      <c r="M54" s="29" t="n">
        <f aca="false">IF(L54="","",H54*L54)</f>
        <v>115200</v>
      </c>
      <c r="N54" s="29" t="n">
        <f aca="false">IF(M54="","",J54-M54)</f>
        <v>28200</v>
      </c>
      <c r="O54" s="30" t="n">
        <f aca="false">IFERROR(N54/J54,0)</f>
        <v>0.196652719665272</v>
      </c>
      <c r="P54" s="27"/>
      <c r="Q54" s="27" t="s">
        <v>148</v>
      </c>
      <c r="R54" s="27" t="s">
        <v>149</v>
      </c>
      <c r="S54" s="27" t="n">
        <v>2</v>
      </c>
      <c r="T54" s="27"/>
    </row>
    <row r="55" customFormat="false" ht="15" hidden="false" customHeight="false" outlineLevel="0" collapsed="false">
      <c r="A55" s="26" t="n">
        <v>46031</v>
      </c>
      <c r="B55" s="27" t="n">
        <v>2026</v>
      </c>
      <c r="C55" s="27" t="n">
        <v>1</v>
      </c>
      <c r="D55" s="27" t="s">
        <v>80</v>
      </c>
      <c r="E55" s="27" t="s">
        <v>91</v>
      </c>
      <c r="F55" s="27" t="s">
        <v>107</v>
      </c>
      <c r="G55" s="27" t="s">
        <v>116</v>
      </c>
      <c r="H55" s="28" t="n">
        <v>4</v>
      </c>
      <c r="I55" s="29" t="n">
        <v>620</v>
      </c>
      <c r="J55" s="29" t="n">
        <v>2480</v>
      </c>
      <c r="K55" s="29" t="n">
        <f aca="false">H55*I55</f>
        <v>2480</v>
      </c>
      <c r="L55" s="29" t="n">
        <f aca="false">IFERROR(INDEX(Cat_Productos!$B$2:$B$6,MATCH(G55,Cat_Productos!$A$2:$A$6,0)),"")</f>
        <v>290</v>
      </c>
      <c r="M55" s="29" t="n">
        <f aca="false">IF(L55="","",H55*L55)</f>
        <v>1160</v>
      </c>
      <c r="N55" s="29" t="n">
        <f aca="false">IF(M55="","",J55-M55)</f>
        <v>1320</v>
      </c>
      <c r="O55" s="30" t="n">
        <f aca="false">IFERROR(N55/J55,0)</f>
        <v>0.532258064516129</v>
      </c>
      <c r="P55" s="27"/>
      <c r="Q55" s="27" t="s">
        <v>148</v>
      </c>
      <c r="R55" s="27" t="s">
        <v>149</v>
      </c>
      <c r="S55" s="27" t="n">
        <v>98</v>
      </c>
      <c r="T55" s="27"/>
    </row>
    <row r="56" customFormat="false" ht="15" hidden="false" customHeight="false" outlineLevel="0" collapsed="false">
      <c r="A56" s="26" t="n">
        <v>46031</v>
      </c>
      <c r="B56" s="27" t="n">
        <v>2026</v>
      </c>
      <c r="C56" s="27" t="n">
        <v>1</v>
      </c>
      <c r="D56" s="27" t="s">
        <v>80</v>
      </c>
      <c r="E56" s="27" t="s">
        <v>91</v>
      </c>
      <c r="F56" s="27" t="s">
        <v>107</v>
      </c>
      <c r="G56" s="27" t="s">
        <v>116</v>
      </c>
      <c r="H56" s="28" t="n">
        <v>6</v>
      </c>
      <c r="I56" s="29" t="n">
        <v>620</v>
      </c>
      <c r="J56" s="29" t="n">
        <v>3720</v>
      </c>
      <c r="K56" s="29" t="n">
        <f aca="false">H56*I56</f>
        <v>3720</v>
      </c>
      <c r="L56" s="29" t="n">
        <f aca="false">IFERROR(INDEX(Cat_Productos!$B$2:$B$6,MATCH(G56,Cat_Productos!$A$2:$A$6,0)),"")</f>
        <v>290</v>
      </c>
      <c r="M56" s="29" t="n">
        <f aca="false">IF(L56="","",H56*L56)</f>
        <v>1740</v>
      </c>
      <c r="N56" s="29" t="n">
        <f aca="false">IF(M56="","",J56-M56)</f>
        <v>1980</v>
      </c>
      <c r="O56" s="30" t="n">
        <f aca="false">IFERROR(N56/J56,0)</f>
        <v>0.532258064516129</v>
      </c>
      <c r="P56" s="27"/>
      <c r="Q56" s="27" t="s">
        <v>148</v>
      </c>
      <c r="R56" s="27" t="s">
        <v>149</v>
      </c>
      <c r="S56" s="27" t="n">
        <v>102</v>
      </c>
      <c r="T56" s="27"/>
    </row>
    <row r="57" customFormat="false" ht="15" hidden="false" customHeight="false" outlineLevel="0" collapsed="false">
      <c r="A57" s="26" t="n">
        <v>46031</v>
      </c>
      <c r="B57" s="27" t="n">
        <v>2026</v>
      </c>
      <c r="C57" s="27" t="n">
        <v>1</v>
      </c>
      <c r="D57" s="27" t="s">
        <v>80</v>
      </c>
      <c r="E57" s="27" t="s">
        <v>91</v>
      </c>
      <c r="F57" s="27" t="s">
        <v>107</v>
      </c>
      <c r="G57" s="27" t="s">
        <v>116</v>
      </c>
      <c r="H57" s="28" t="n">
        <v>6</v>
      </c>
      <c r="I57" s="29" t="n">
        <v>620</v>
      </c>
      <c r="J57" s="29" t="n">
        <v>3720</v>
      </c>
      <c r="K57" s="29" t="n">
        <f aca="false">H57*I57</f>
        <v>3720</v>
      </c>
      <c r="L57" s="29" t="n">
        <f aca="false">IFERROR(INDEX(Cat_Productos!$B$2:$B$6,MATCH(G57,Cat_Productos!$A$2:$A$6,0)),"")</f>
        <v>290</v>
      </c>
      <c r="M57" s="29" t="n">
        <f aca="false">IF(L57="","",H57*L57)</f>
        <v>1740</v>
      </c>
      <c r="N57" s="29" t="n">
        <f aca="false">IF(M57="","",J57-M57)</f>
        <v>1980</v>
      </c>
      <c r="O57" s="30" t="n">
        <f aca="false">IFERROR(N57/J57,0)</f>
        <v>0.532258064516129</v>
      </c>
      <c r="P57" s="27"/>
      <c r="Q57" s="27" t="s">
        <v>148</v>
      </c>
      <c r="R57" s="27" t="s">
        <v>149</v>
      </c>
      <c r="S57" s="27" t="n">
        <v>106</v>
      </c>
      <c r="T57" s="27"/>
    </row>
    <row r="58" customFormat="false" ht="15" hidden="false" customHeight="false" outlineLevel="0" collapsed="false">
      <c r="A58" s="26" t="n">
        <v>46031</v>
      </c>
      <c r="B58" s="27" t="n">
        <v>2026</v>
      </c>
      <c r="C58" s="27" t="n">
        <v>1</v>
      </c>
      <c r="D58" s="27" t="s">
        <v>80</v>
      </c>
      <c r="E58" s="27" t="s">
        <v>91</v>
      </c>
      <c r="F58" s="27" t="s">
        <v>103</v>
      </c>
      <c r="G58" s="27" t="s">
        <v>114</v>
      </c>
      <c r="H58" s="28" t="n">
        <v>2</v>
      </c>
      <c r="I58" s="29" t="n">
        <v>23900</v>
      </c>
      <c r="J58" s="29" t="n">
        <v>47800</v>
      </c>
      <c r="K58" s="29" t="n">
        <f aca="false">H58*I58</f>
        <v>47800</v>
      </c>
      <c r="L58" s="29" t="n">
        <f aca="false">IFERROR(INDEX(Cat_Productos!$B$2:$B$6,MATCH(G58,Cat_Productos!$A$2:$A$6,0)),"")</f>
        <v>19200</v>
      </c>
      <c r="M58" s="29" t="n">
        <f aca="false">IF(L58="","",H58*L58)</f>
        <v>38400</v>
      </c>
      <c r="N58" s="29" t="n">
        <f aca="false">IF(M58="","",J58-M58)</f>
        <v>9400</v>
      </c>
      <c r="O58" s="30" t="n">
        <f aca="false">IFERROR(N58/J58,0)</f>
        <v>0.196652719665272</v>
      </c>
      <c r="P58" s="27"/>
      <c r="Q58" s="27" t="s">
        <v>148</v>
      </c>
      <c r="R58" s="27" t="s">
        <v>149</v>
      </c>
      <c r="S58" s="27" t="n">
        <v>110</v>
      </c>
      <c r="T58" s="27"/>
    </row>
    <row r="59" customFormat="false" ht="15" hidden="false" customHeight="false" outlineLevel="0" collapsed="false">
      <c r="A59" s="26" t="n">
        <v>46031</v>
      </c>
      <c r="B59" s="27" t="n">
        <v>2026</v>
      </c>
      <c r="C59" s="27" t="n">
        <v>1</v>
      </c>
      <c r="D59" s="27" t="s">
        <v>80</v>
      </c>
      <c r="E59" s="27" t="s">
        <v>91</v>
      </c>
      <c r="F59" s="27" t="s">
        <v>103</v>
      </c>
      <c r="G59" s="27" t="s">
        <v>116</v>
      </c>
      <c r="H59" s="28" t="n">
        <v>4</v>
      </c>
      <c r="I59" s="29" t="n">
        <v>620</v>
      </c>
      <c r="J59" s="29" t="n">
        <v>2480</v>
      </c>
      <c r="K59" s="29" t="n">
        <f aca="false">H59*I59</f>
        <v>2480</v>
      </c>
      <c r="L59" s="29" t="n">
        <f aca="false">IFERROR(INDEX(Cat_Productos!$B$2:$B$6,MATCH(G59,Cat_Productos!$A$2:$A$6,0)),"")</f>
        <v>290</v>
      </c>
      <c r="M59" s="29" t="n">
        <f aca="false">IF(L59="","",H59*L59)</f>
        <v>1160</v>
      </c>
      <c r="N59" s="29" t="n">
        <f aca="false">IF(M59="","",J59-M59)</f>
        <v>1320</v>
      </c>
      <c r="O59" s="30" t="n">
        <f aca="false">IFERROR(N59/J59,0)</f>
        <v>0.532258064516129</v>
      </c>
      <c r="P59" s="27"/>
      <c r="Q59" s="27" t="s">
        <v>148</v>
      </c>
      <c r="R59" s="27" t="s">
        <v>149</v>
      </c>
      <c r="S59" s="27" t="n">
        <v>142</v>
      </c>
      <c r="T59" s="27"/>
    </row>
    <row r="60" customFormat="false" ht="15" hidden="false" customHeight="false" outlineLevel="0" collapsed="false">
      <c r="A60" s="26" t="n">
        <v>46031</v>
      </c>
      <c r="B60" s="27" t="n">
        <v>2026</v>
      </c>
      <c r="C60" s="27" t="n">
        <v>1</v>
      </c>
      <c r="D60" s="27" t="s">
        <v>80</v>
      </c>
      <c r="E60" s="27" t="s">
        <v>91</v>
      </c>
      <c r="F60" s="27" t="s">
        <v>103</v>
      </c>
      <c r="G60" s="27" t="s">
        <v>116</v>
      </c>
      <c r="H60" s="28" t="n">
        <v>2</v>
      </c>
      <c r="I60" s="29" t="n">
        <v>620</v>
      </c>
      <c r="J60" s="29" t="n">
        <v>1240</v>
      </c>
      <c r="K60" s="29" t="n">
        <f aca="false">H60*I60</f>
        <v>1240</v>
      </c>
      <c r="L60" s="29" t="n">
        <f aca="false">IFERROR(INDEX(Cat_Productos!$B$2:$B$6,MATCH(G60,Cat_Productos!$A$2:$A$6,0)),"")</f>
        <v>290</v>
      </c>
      <c r="M60" s="29" t="n">
        <f aca="false">IF(L60="","",H60*L60)</f>
        <v>580</v>
      </c>
      <c r="N60" s="29" t="n">
        <f aca="false">IF(M60="","",J60-M60)</f>
        <v>660</v>
      </c>
      <c r="O60" s="30" t="n">
        <f aca="false">IFERROR(N60/J60,0)</f>
        <v>0.532258064516129</v>
      </c>
      <c r="P60" s="27"/>
      <c r="Q60" s="27" t="s">
        <v>148</v>
      </c>
      <c r="R60" s="27" t="s">
        <v>149</v>
      </c>
      <c r="S60" s="27" t="n">
        <v>152</v>
      </c>
      <c r="T60" s="27"/>
    </row>
    <row r="61" customFormat="false" ht="15" hidden="false" customHeight="false" outlineLevel="0" collapsed="false">
      <c r="A61" s="26" t="n">
        <v>46031</v>
      </c>
      <c r="B61" s="27" t="n">
        <v>2026</v>
      </c>
      <c r="C61" s="27" t="n">
        <v>1</v>
      </c>
      <c r="D61" s="27" t="s">
        <v>80</v>
      </c>
      <c r="E61" s="27" t="s">
        <v>91</v>
      </c>
      <c r="F61" s="27" t="s">
        <v>103</v>
      </c>
      <c r="G61" s="27" t="s">
        <v>116</v>
      </c>
      <c r="H61" s="28" t="n">
        <v>2</v>
      </c>
      <c r="I61" s="29" t="n">
        <v>620</v>
      </c>
      <c r="J61" s="29" t="n">
        <v>1240</v>
      </c>
      <c r="K61" s="29" t="n">
        <f aca="false">H61*I61</f>
        <v>1240</v>
      </c>
      <c r="L61" s="29" t="n">
        <f aca="false">IFERROR(INDEX(Cat_Productos!$B$2:$B$6,MATCH(G61,Cat_Productos!$A$2:$A$6,0)),"")</f>
        <v>290</v>
      </c>
      <c r="M61" s="29" t="n">
        <f aca="false">IF(L61="","",H61*L61)</f>
        <v>580</v>
      </c>
      <c r="N61" s="29" t="n">
        <f aca="false">IF(M61="","",J61-M61)</f>
        <v>660</v>
      </c>
      <c r="O61" s="30" t="n">
        <f aca="false">IFERROR(N61/J61,0)</f>
        <v>0.532258064516129</v>
      </c>
      <c r="P61" s="27"/>
      <c r="Q61" s="27" t="s">
        <v>148</v>
      </c>
      <c r="R61" s="27" t="s">
        <v>149</v>
      </c>
      <c r="S61" s="27" t="n">
        <v>146</v>
      </c>
      <c r="T61" s="27"/>
    </row>
    <row r="62" customFormat="false" ht="15" hidden="false" customHeight="false" outlineLevel="0" collapsed="false">
      <c r="A62" s="26" t="n">
        <v>46031</v>
      </c>
      <c r="B62" s="27" t="n">
        <v>2026</v>
      </c>
      <c r="C62" s="27" t="n">
        <v>1</v>
      </c>
      <c r="D62" s="27" t="s">
        <v>80</v>
      </c>
      <c r="E62" s="27" t="s">
        <v>91</v>
      </c>
      <c r="F62" s="27" t="s">
        <v>107</v>
      </c>
      <c r="G62" s="27" t="s">
        <v>117</v>
      </c>
      <c r="H62" s="28" t="n">
        <v>2</v>
      </c>
      <c r="I62" s="29" t="n">
        <v>1450</v>
      </c>
      <c r="J62" s="29" t="n">
        <v>2900</v>
      </c>
      <c r="K62" s="29" t="n">
        <f aca="false">H62*I62</f>
        <v>2900</v>
      </c>
      <c r="L62" s="29" t="n">
        <f aca="false">IFERROR(INDEX(Cat_Productos!$B$2:$B$6,MATCH(G62,Cat_Productos!$A$2:$A$6,0)),"")</f>
        <v>780</v>
      </c>
      <c r="M62" s="29" t="n">
        <f aca="false">IF(L62="","",H62*L62)</f>
        <v>1560</v>
      </c>
      <c r="N62" s="29" t="n">
        <f aca="false">IF(M62="","",J62-M62)</f>
        <v>1340</v>
      </c>
      <c r="O62" s="30" t="n">
        <f aca="false">IFERROR(N62/J62,0)</f>
        <v>0.462068965517241</v>
      </c>
      <c r="P62" s="27"/>
      <c r="Q62" s="27" t="s">
        <v>148</v>
      </c>
      <c r="R62" s="27" t="s">
        <v>149</v>
      </c>
      <c r="S62" s="27" t="n">
        <v>88</v>
      </c>
      <c r="T62" s="27"/>
    </row>
    <row r="63" customFormat="false" ht="15" hidden="false" customHeight="false" outlineLevel="0" collapsed="false">
      <c r="A63" s="26" t="n">
        <v>46031</v>
      </c>
      <c r="B63" s="27" t="n">
        <v>2026</v>
      </c>
      <c r="C63" s="27" t="n">
        <v>1</v>
      </c>
      <c r="D63" s="27" t="s">
        <v>80</v>
      </c>
      <c r="E63" s="27" t="s">
        <v>93</v>
      </c>
      <c r="F63" s="27" t="s">
        <v>108</v>
      </c>
      <c r="G63" s="27" t="s">
        <v>117</v>
      </c>
      <c r="H63" s="28" t="n">
        <v>6</v>
      </c>
      <c r="I63" s="29" t="n">
        <v>1450</v>
      </c>
      <c r="J63" s="29" t="n">
        <v>8700</v>
      </c>
      <c r="K63" s="29" t="n">
        <f aca="false">H63*I63</f>
        <v>8700</v>
      </c>
      <c r="L63" s="29" t="n">
        <f aca="false">IFERROR(INDEX(Cat_Productos!$B$2:$B$6,MATCH(G63,Cat_Productos!$A$2:$A$6,0)),"")</f>
        <v>780</v>
      </c>
      <c r="M63" s="29" t="n">
        <f aca="false">IF(L63="","",H63*L63)</f>
        <v>4680</v>
      </c>
      <c r="N63" s="29" t="n">
        <f aca="false">IF(M63="","",J63-M63)</f>
        <v>4020</v>
      </c>
      <c r="O63" s="30" t="n">
        <f aca="false">IFERROR(N63/J63,0)</f>
        <v>0.462068965517241</v>
      </c>
      <c r="P63" s="27"/>
      <c r="Q63" s="27" t="s">
        <v>148</v>
      </c>
      <c r="R63" s="27" t="s">
        <v>149</v>
      </c>
      <c r="S63" s="27" t="n">
        <v>64</v>
      </c>
      <c r="T63" s="27"/>
    </row>
    <row r="64" customFormat="false" ht="15" hidden="false" customHeight="false" outlineLevel="0" collapsed="false">
      <c r="A64" s="26" t="n">
        <v>46031</v>
      </c>
      <c r="B64" s="27" t="n">
        <v>2026</v>
      </c>
      <c r="C64" s="27" t="n">
        <v>1</v>
      </c>
      <c r="D64" s="27" t="s">
        <v>80</v>
      </c>
      <c r="E64" s="27" t="s">
        <v>91</v>
      </c>
      <c r="F64" s="27" t="s">
        <v>103</v>
      </c>
      <c r="G64" s="27" t="s">
        <v>116</v>
      </c>
      <c r="H64" s="28" t="n">
        <v>2</v>
      </c>
      <c r="I64" s="29" t="n">
        <v>620</v>
      </c>
      <c r="J64" s="29" t="n">
        <v>1240</v>
      </c>
      <c r="K64" s="29" t="n">
        <f aca="false">H64*I64</f>
        <v>1240</v>
      </c>
      <c r="L64" s="29" t="n">
        <f aca="false">IFERROR(INDEX(Cat_Productos!$B$2:$B$6,MATCH(G64,Cat_Productos!$A$2:$A$6,0)),"")</f>
        <v>290</v>
      </c>
      <c r="M64" s="29" t="n">
        <f aca="false">IF(L64="","",H64*L64)</f>
        <v>580</v>
      </c>
      <c r="N64" s="29" t="n">
        <f aca="false">IF(M64="","",J64-M64)</f>
        <v>660</v>
      </c>
      <c r="O64" s="30" t="n">
        <f aca="false">IFERROR(N64/J64,0)</f>
        <v>0.532258064516129</v>
      </c>
      <c r="P64" s="27"/>
      <c r="Q64" s="27" t="s">
        <v>148</v>
      </c>
      <c r="R64" s="27" t="s">
        <v>149</v>
      </c>
      <c r="S64" s="27" t="n">
        <v>150</v>
      </c>
      <c r="T64" s="27"/>
    </row>
    <row r="65" customFormat="false" ht="15" hidden="false" customHeight="false" outlineLevel="0" collapsed="false">
      <c r="A65" s="26" t="n">
        <v>46031</v>
      </c>
      <c r="B65" s="27" t="n">
        <v>2026</v>
      </c>
      <c r="C65" s="27" t="n">
        <v>1</v>
      </c>
      <c r="D65" s="27" t="s">
        <v>80</v>
      </c>
      <c r="E65" s="27" t="s">
        <v>92</v>
      </c>
      <c r="F65" s="27" t="s">
        <v>105</v>
      </c>
      <c r="G65" s="27" t="s">
        <v>116</v>
      </c>
      <c r="H65" s="28" t="n">
        <v>4</v>
      </c>
      <c r="I65" s="29" t="n">
        <v>620</v>
      </c>
      <c r="J65" s="29" t="n">
        <v>2480</v>
      </c>
      <c r="K65" s="29" t="n">
        <f aca="false">H65*I65</f>
        <v>2480</v>
      </c>
      <c r="L65" s="29" t="n">
        <f aca="false">IFERROR(INDEX(Cat_Productos!$B$2:$B$6,MATCH(G65,Cat_Productos!$A$2:$A$6,0)),"")</f>
        <v>290</v>
      </c>
      <c r="M65" s="29" t="n">
        <f aca="false">IF(L65="","",H65*L65)</f>
        <v>1160</v>
      </c>
      <c r="N65" s="29" t="n">
        <f aca="false">IF(M65="","",J65-M65)</f>
        <v>1320</v>
      </c>
      <c r="O65" s="30" t="n">
        <f aca="false">IFERROR(N65/J65,0)</f>
        <v>0.532258064516129</v>
      </c>
      <c r="P65" s="27"/>
      <c r="Q65" s="27" t="s">
        <v>148</v>
      </c>
      <c r="R65" s="27" t="s">
        <v>149</v>
      </c>
      <c r="S65" s="27" t="n">
        <v>48</v>
      </c>
      <c r="T65" s="27"/>
    </row>
    <row r="66" customFormat="false" ht="15" hidden="false" customHeight="false" outlineLevel="0" collapsed="false">
      <c r="A66" s="26" t="n">
        <v>46031</v>
      </c>
      <c r="B66" s="27" t="n">
        <v>2026</v>
      </c>
      <c r="C66" s="27" t="n">
        <v>1</v>
      </c>
      <c r="D66" s="27" t="s">
        <v>80</v>
      </c>
      <c r="E66" s="27" t="s">
        <v>93</v>
      </c>
      <c r="F66" s="27" t="s">
        <v>104</v>
      </c>
      <c r="G66" s="27" t="s">
        <v>116</v>
      </c>
      <c r="H66" s="28" t="n">
        <v>2</v>
      </c>
      <c r="I66" s="29" t="n">
        <v>620</v>
      </c>
      <c r="J66" s="29" t="n">
        <v>1240</v>
      </c>
      <c r="K66" s="29" t="n">
        <f aca="false">H66*I66</f>
        <v>1240</v>
      </c>
      <c r="L66" s="29" t="n">
        <f aca="false">IFERROR(INDEX(Cat_Productos!$B$2:$B$6,MATCH(G66,Cat_Productos!$A$2:$A$6,0)),"")</f>
        <v>290</v>
      </c>
      <c r="M66" s="29" t="n">
        <f aca="false">IF(L66="","",H66*L66)</f>
        <v>580</v>
      </c>
      <c r="N66" s="29" t="n">
        <f aca="false">IF(M66="","",J66-M66)</f>
        <v>660</v>
      </c>
      <c r="O66" s="30" t="n">
        <f aca="false">IFERROR(N66/J66,0)</f>
        <v>0.532258064516129</v>
      </c>
      <c r="P66" s="27"/>
      <c r="Q66" s="27" t="s">
        <v>148</v>
      </c>
      <c r="R66" s="27" t="s">
        <v>149</v>
      </c>
      <c r="S66" s="27" t="n">
        <v>175</v>
      </c>
      <c r="T66" s="27"/>
    </row>
    <row r="67" customFormat="false" ht="15" hidden="false" customHeight="false" outlineLevel="0" collapsed="false">
      <c r="A67" s="26" t="n">
        <v>46031</v>
      </c>
      <c r="B67" s="27" t="n">
        <v>2026</v>
      </c>
      <c r="C67" s="27" t="n">
        <v>1</v>
      </c>
      <c r="D67" s="27" t="s">
        <v>80</v>
      </c>
      <c r="E67" s="27" t="s">
        <v>92</v>
      </c>
      <c r="F67" s="27" t="s">
        <v>105</v>
      </c>
      <c r="G67" s="27" t="s">
        <v>114</v>
      </c>
      <c r="H67" s="28" t="n">
        <v>4</v>
      </c>
      <c r="I67" s="29" t="n">
        <v>23900</v>
      </c>
      <c r="J67" s="29" t="n">
        <v>95600</v>
      </c>
      <c r="K67" s="29" t="n">
        <f aca="false">H67*I67</f>
        <v>95600</v>
      </c>
      <c r="L67" s="29" t="n">
        <f aca="false">IFERROR(INDEX(Cat_Productos!$B$2:$B$6,MATCH(G67,Cat_Productos!$A$2:$A$6,0)),"")</f>
        <v>19200</v>
      </c>
      <c r="M67" s="29" t="n">
        <f aca="false">IF(L67="","",H67*L67)</f>
        <v>76800</v>
      </c>
      <c r="N67" s="29" t="n">
        <f aca="false">IF(M67="","",J67-M67)</f>
        <v>18800</v>
      </c>
      <c r="O67" s="30" t="n">
        <f aca="false">IFERROR(N67/J67,0)</f>
        <v>0.196652719665272</v>
      </c>
      <c r="P67" s="27"/>
      <c r="Q67" s="27" t="s">
        <v>148</v>
      </c>
      <c r="R67" s="27" t="s">
        <v>149</v>
      </c>
      <c r="S67" s="27" t="n">
        <v>4</v>
      </c>
      <c r="T67" s="27"/>
    </row>
    <row r="68" customFormat="false" ht="15" hidden="false" customHeight="false" outlineLevel="0" collapsed="false">
      <c r="A68" s="26" t="n">
        <v>46031</v>
      </c>
      <c r="B68" s="27" t="n">
        <v>2026</v>
      </c>
      <c r="C68" s="27" t="n">
        <v>1</v>
      </c>
      <c r="D68" s="27" t="s">
        <v>80</v>
      </c>
      <c r="E68" s="27" t="s">
        <v>93</v>
      </c>
      <c r="F68" s="27" t="s">
        <v>104</v>
      </c>
      <c r="G68" s="27" t="s">
        <v>116</v>
      </c>
      <c r="H68" s="28" t="n">
        <v>6</v>
      </c>
      <c r="I68" s="29" t="n">
        <v>620</v>
      </c>
      <c r="J68" s="29" t="n">
        <v>3720</v>
      </c>
      <c r="K68" s="29" t="n">
        <f aca="false">H68*I68</f>
        <v>3720</v>
      </c>
      <c r="L68" s="29" t="n">
        <f aca="false">IFERROR(INDEX(Cat_Productos!$B$2:$B$6,MATCH(G68,Cat_Productos!$A$2:$A$6,0)),"")</f>
        <v>290</v>
      </c>
      <c r="M68" s="29" t="n">
        <f aca="false">IF(L68="","",H68*L68)</f>
        <v>1740</v>
      </c>
      <c r="N68" s="29" t="n">
        <f aca="false">IF(M68="","",J68-M68)</f>
        <v>1980</v>
      </c>
      <c r="O68" s="30" t="n">
        <f aca="false">IFERROR(N68/J68,0)</f>
        <v>0.532258064516129</v>
      </c>
      <c r="P68" s="27"/>
      <c r="Q68" s="27" t="s">
        <v>148</v>
      </c>
      <c r="R68" s="27" t="s">
        <v>149</v>
      </c>
      <c r="S68" s="27" t="n">
        <v>179</v>
      </c>
      <c r="T68" s="27"/>
    </row>
    <row r="69" customFormat="false" ht="15" hidden="false" customHeight="false" outlineLevel="0" collapsed="false">
      <c r="A69" s="26" t="n">
        <v>46031</v>
      </c>
      <c r="B69" s="27" t="n">
        <v>2026</v>
      </c>
      <c r="C69" s="27" t="n">
        <v>1</v>
      </c>
      <c r="D69" s="27" t="s">
        <v>80</v>
      </c>
      <c r="E69" s="27" t="s">
        <v>93</v>
      </c>
      <c r="F69" s="27" t="s">
        <v>104</v>
      </c>
      <c r="G69" s="27" t="s">
        <v>116</v>
      </c>
      <c r="H69" s="28" t="n">
        <v>6</v>
      </c>
      <c r="I69" s="29" t="n">
        <v>620</v>
      </c>
      <c r="J69" s="29" t="n">
        <v>3720</v>
      </c>
      <c r="K69" s="29" t="n">
        <f aca="false">H69*I69</f>
        <v>3720</v>
      </c>
      <c r="L69" s="29" t="n">
        <f aca="false">IFERROR(INDEX(Cat_Productos!$B$2:$B$6,MATCH(G69,Cat_Productos!$A$2:$A$6,0)),"")</f>
        <v>290</v>
      </c>
      <c r="M69" s="29" t="n">
        <f aca="false">IF(L69="","",H69*L69)</f>
        <v>1740</v>
      </c>
      <c r="N69" s="29" t="n">
        <f aca="false">IF(M69="","",J69-M69)</f>
        <v>1980</v>
      </c>
      <c r="O69" s="30" t="n">
        <f aca="false">IFERROR(N69/J69,0)</f>
        <v>0.532258064516129</v>
      </c>
      <c r="P69" s="27"/>
      <c r="Q69" s="27" t="s">
        <v>148</v>
      </c>
      <c r="R69" s="27" t="s">
        <v>149</v>
      </c>
      <c r="S69" s="27" t="n">
        <v>171</v>
      </c>
      <c r="T69" s="27"/>
    </row>
    <row r="70" customFormat="false" ht="15" hidden="false" customHeight="false" outlineLevel="0" collapsed="false">
      <c r="A70" s="26" t="n">
        <v>46033</v>
      </c>
      <c r="B70" s="27" t="n">
        <v>2026</v>
      </c>
      <c r="C70" s="27" t="n">
        <v>1</v>
      </c>
      <c r="D70" s="27" t="s">
        <v>80</v>
      </c>
      <c r="E70" s="27" t="s">
        <v>93</v>
      </c>
      <c r="F70" s="27" t="s">
        <v>104</v>
      </c>
      <c r="G70" s="27" t="s">
        <v>116</v>
      </c>
      <c r="H70" s="28" t="n">
        <v>4</v>
      </c>
      <c r="I70" s="29" t="n">
        <v>620</v>
      </c>
      <c r="J70" s="29" t="n">
        <v>2480</v>
      </c>
      <c r="K70" s="29" t="n">
        <f aca="false">H70*I70</f>
        <v>2480</v>
      </c>
      <c r="L70" s="29" t="n">
        <f aca="false">IFERROR(INDEX(Cat_Productos!$B$2:$B$6,MATCH(G70,Cat_Productos!$A$2:$A$6,0)),"")</f>
        <v>290</v>
      </c>
      <c r="M70" s="29" t="n">
        <f aca="false">IF(L70="","",H70*L70)</f>
        <v>1160</v>
      </c>
      <c r="N70" s="29" t="n">
        <f aca="false">IF(M70="","",J70-M70)</f>
        <v>1320</v>
      </c>
      <c r="O70" s="30" t="n">
        <f aca="false">IFERROR(N70/J70,0)</f>
        <v>0.532258064516129</v>
      </c>
      <c r="P70" s="27"/>
      <c r="Q70" s="27" t="s">
        <v>148</v>
      </c>
      <c r="R70" s="27" t="s">
        <v>149</v>
      </c>
      <c r="S70" s="27" t="n">
        <v>178</v>
      </c>
      <c r="T70" s="27"/>
    </row>
    <row r="71" customFormat="false" ht="15" hidden="false" customHeight="false" outlineLevel="0" collapsed="false">
      <c r="A71" s="26" t="n">
        <v>46033</v>
      </c>
      <c r="B71" s="27" t="n">
        <v>2026</v>
      </c>
      <c r="C71" s="27" t="n">
        <v>1</v>
      </c>
      <c r="D71" s="27" t="s">
        <v>80</v>
      </c>
      <c r="E71" s="27" t="s">
        <v>91</v>
      </c>
      <c r="F71" s="27" t="s">
        <v>103</v>
      </c>
      <c r="G71" s="27" t="s">
        <v>114</v>
      </c>
      <c r="H71" s="28" t="n">
        <v>6</v>
      </c>
      <c r="I71" s="29" t="n">
        <v>23900</v>
      </c>
      <c r="J71" s="29" t="n">
        <v>143400</v>
      </c>
      <c r="K71" s="29" t="n">
        <f aca="false">H71*I71</f>
        <v>143400</v>
      </c>
      <c r="L71" s="29" t="n">
        <f aca="false">IFERROR(INDEX(Cat_Productos!$B$2:$B$6,MATCH(G71,Cat_Productos!$A$2:$A$6,0)),"")</f>
        <v>19200</v>
      </c>
      <c r="M71" s="29" t="n">
        <f aca="false">IF(L71="","",H71*L71)</f>
        <v>115200</v>
      </c>
      <c r="N71" s="29" t="n">
        <f aca="false">IF(M71="","",J71-M71)</f>
        <v>28200</v>
      </c>
      <c r="O71" s="30" t="n">
        <f aca="false">IFERROR(N71/J71,0)</f>
        <v>0.196652719665272</v>
      </c>
      <c r="P71" s="27"/>
      <c r="Q71" s="27" t="s">
        <v>148</v>
      </c>
      <c r="R71" s="27" t="s">
        <v>149</v>
      </c>
      <c r="S71" s="27" t="n">
        <v>109</v>
      </c>
      <c r="T71" s="27"/>
    </row>
    <row r="72" customFormat="false" ht="15" hidden="false" customHeight="false" outlineLevel="0" collapsed="false">
      <c r="A72" s="26" t="n">
        <v>46033</v>
      </c>
      <c r="B72" s="27" t="n">
        <v>2026</v>
      </c>
      <c r="C72" s="27" t="n">
        <v>1</v>
      </c>
      <c r="D72" s="27" t="s">
        <v>80</v>
      </c>
      <c r="E72" s="27" t="s">
        <v>91</v>
      </c>
      <c r="F72" s="27" t="s">
        <v>103</v>
      </c>
      <c r="G72" s="27" t="s">
        <v>116</v>
      </c>
      <c r="H72" s="28" t="n">
        <v>6</v>
      </c>
      <c r="I72" s="29" t="n">
        <v>620</v>
      </c>
      <c r="J72" s="29" t="n">
        <v>3720</v>
      </c>
      <c r="K72" s="29" t="n">
        <f aca="false">H72*I72</f>
        <v>3720</v>
      </c>
      <c r="L72" s="29" t="n">
        <f aca="false">IFERROR(INDEX(Cat_Productos!$B$2:$B$6,MATCH(G72,Cat_Productos!$A$2:$A$6,0)),"")</f>
        <v>290</v>
      </c>
      <c r="M72" s="29" t="n">
        <f aca="false">IF(L72="","",H72*L72)</f>
        <v>1740</v>
      </c>
      <c r="N72" s="29" t="n">
        <f aca="false">IF(M72="","",J72-M72)</f>
        <v>1980</v>
      </c>
      <c r="O72" s="30" t="n">
        <f aca="false">IFERROR(N72/J72,0)</f>
        <v>0.532258064516129</v>
      </c>
      <c r="P72" s="27"/>
      <c r="Q72" s="27" t="s">
        <v>148</v>
      </c>
      <c r="R72" s="27" t="s">
        <v>149</v>
      </c>
      <c r="S72" s="27" t="n">
        <v>151</v>
      </c>
      <c r="T72" s="27"/>
    </row>
    <row r="73" customFormat="false" ht="15" hidden="false" customHeight="false" outlineLevel="0" collapsed="false">
      <c r="A73" s="26" t="n">
        <v>46033</v>
      </c>
      <c r="B73" s="27" t="n">
        <v>2026</v>
      </c>
      <c r="C73" s="27" t="n">
        <v>1</v>
      </c>
      <c r="D73" s="27" t="s">
        <v>80</v>
      </c>
      <c r="E73" s="27" t="s">
        <v>91</v>
      </c>
      <c r="F73" s="27" t="s">
        <v>107</v>
      </c>
      <c r="G73" s="27" t="s">
        <v>117</v>
      </c>
      <c r="H73" s="28" t="n">
        <v>4</v>
      </c>
      <c r="I73" s="29" t="n">
        <v>1450</v>
      </c>
      <c r="J73" s="29" t="n">
        <v>5800</v>
      </c>
      <c r="K73" s="29" t="n">
        <f aca="false">H73*I73</f>
        <v>5800</v>
      </c>
      <c r="L73" s="29" t="n">
        <f aca="false">IFERROR(INDEX(Cat_Productos!$B$2:$B$6,MATCH(G73,Cat_Productos!$A$2:$A$6,0)),"")</f>
        <v>780</v>
      </c>
      <c r="M73" s="29" t="n">
        <f aca="false">IF(L73="","",H73*L73)</f>
        <v>3120</v>
      </c>
      <c r="N73" s="29" t="n">
        <f aca="false">IF(M73="","",J73-M73)</f>
        <v>2680</v>
      </c>
      <c r="O73" s="30" t="n">
        <f aca="false">IFERROR(N73/J73,0)</f>
        <v>0.462068965517241</v>
      </c>
      <c r="P73" s="27"/>
      <c r="Q73" s="27" t="s">
        <v>148</v>
      </c>
      <c r="R73" s="27" t="s">
        <v>149</v>
      </c>
      <c r="S73" s="27" t="n">
        <v>87</v>
      </c>
      <c r="T73" s="27"/>
    </row>
    <row r="74" customFormat="false" ht="15" hidden="false" customHeight="false" outlineLevel="0" collapsed="false">
      <c r="A74" s="26" t="n">
        <v>46033</v>
      </c>
      <c r="B74" s="27" t="n">
        <v>2026</v>
      </c>
      <c r="C74" s="27" t="n">
        <v>1</v>
      </c>
      <c r="D74" s="27" t="s">
        <v>80</v>
      </c>
      <c r="E74" s="27" t="s">
        <v>92</v>
      </c>
      <c r="F74" s="27" t="s">
        <v>105</v>
      </c>
      <c r="G74" s="27" t="s">
        <v>117</v>
      </c>
      <c r="H74" s="28" t="n">
        <v>4</v>
      </c>
      <c r="I74" s="29" t="n">
        <v>1450</v>
      </c>
      <c r="J74" s="29" t="n">
        <v>5800</v>
      </c>
      <c r="K74" s="29" t="n">
        <f aca="false">H74*I74</f>
        <v>5800</v>
      </c>
      <c r="L74" s="29" t="n">
        <f aca="false">IFERROR(INDEX(Cat_Productos!$B$2:$B$6,MATCH(G74,Cat_Productos!$A$2:$A$6,0)),"")</f>
        <v>780</v>
      </c>
      <c r="M74" s="29" t="n">
        <f aca="false">IF(L74="","",H74*L74)</f>
        <v>3120</v>
      </c>
      <c r="N74" s="29" t="n">
        <f aca="false">IF(M74="","",J74-M74)</f>
        <v>2680</v>
      </c>
      <c r="O74" s="30" t="n">
        <f aca="false">IFERROR(N74/J74,0)</f>
        <v>0.462068965517241</v>
      </c>
      <c r="P74" s="27"/>
      <c r="Q74" s="27" t="s">
        <v>148</v>
      </c>
      <c r="R74" s="27" t="s">
        <v>149</v>
      </c>
      <c r="S74" s="27" t="n">
        <v>13</v>
      </c>
      <c r="T74" s="27"/>
    </row>
    <row r="75" customFormat="false" ht="15" hidden="false" customHeight="false" outlineLevel="0" collapsed="false">
      <c r="A75" s="26" t="n">
        <v>46033</v>
      </c>
      <c r="B75" s="27" t="n">
        <v>2026</v>
      </c>
      <c r="C75" s="27" t="n">
        <v>1</v>
      </c>
      <c r="D75" s="27" t="s">
        <v>80</v>
      </c>
      <c r="E75" s="27" t="s">
        <v>92</v>
      </c>
      <c r="F75" s="27" t="s">
        <v>105</v>
      </c>
      <c r="G75" s="27" t="s">
        <v>117</v>
      </c>
      <c r="H75" s="28" t="n">
        <v>4</v>
      </c>
      <c r="I75" s="29" t="n">
        <v>1450</v>
      </c>
      <c r="J75" s="29" t="n">
        <v>5800</v>
      </c>
      <c r="K75" s="29" t="n">
        <f aca="false">H75*I75</f>
        <v>5800</v>
      </c>
      <c r="L75" s="29" t="n">
        <f aca="false">IFERROR(INDEX(Cat_Productos!$B$2:$B$6,MATCH(G75,Cat_Productos!$A$2:$A$6,0)),"")</f>
        <v>780</v>
      </c>
      <c r="M75" s="29" t="n">
        <f aca="false">IF(L75="","",H75*L75)</f>
        <v>3120</v>
      </c>
      <c r="N75" s="29" t="n">
        <f aca="false">IF(M75="","",J75-M75)</f>
        <v>2680</v>
      </c>
      <c r="O75" s="30" t="n">
        <f aca="false">IFERROR(N75/J75,0)</f>
        <v>0.462068965517241</v>
      </c>
      <c r="P75" s="27"/>
      <c r="Q75" s="27" t="s">
        <v>148</v>
      </c>
      <c r="R75" s="27" t="s">
        <v>149</v>
      </c>
      <c r="S75" s="27" t="n">
        <v>27</v>
      </c>
      <c r="T75" s="27"/>
    </row>
    <row r="76" customFormat="false" ht="15" hidden="false" customHeight="false" outlineLevel="0" collapsed="false">
      <c r="A76" s="26" t="n">
        <v>46033</v>
      </c>
      <c r="B76" s="27" t="n">
        <v>2026</v>
      </c>
      <c r="C76" s="27" t="n">
        <v>1</v>
      </c>
      <c r="D76" s="27" t="s">
        <v>80</v>
      </c>
      <c r="E76" s="27" t="s">
        <v>91</v>
      </c>
      <c r="F76" s="27" t="s">
        <v>107</v>
      </c>
      <c r="G76" s="27" t="s">
        <v>114</v>
      </c>
      <c r="H76" s="28" t="n">
        <v>2</v>
      </c>
      <c r="I76" s="29" t="n">
        <v>23900</v>
      </c>
      <c r="J76" s="29" t="n">
        <v>47800</v>
      </c>
      <c r="K76" s="29" t="n">
        <f aca="false">H76*I76</f>
        <v>47800</v>
      </c>
      <c r="L76" s="29" t="n">
        <f aca="false">IFERROR(INDEX(Cat_Productos!$B$2:$B$6,MATCH(G76,Cat_Productos!$A$2:$A$6,0)),"")</f>
        <v>19200</v>
      </c>
      <c r="M76" s="29" t="n">
        <f aca="false">IF(L76="","",H76*L76)</f>
        <v>38400</v>
      </c>
      <c r="N76" s="29" t="n">
        <f aca="false">IF(M76="","",J76-M76)</f>
        <v>9400</v>
      </c>
      <c r="O76" s="30" t="n">
        <f aca="false">IFERROR(N76/J76,0)</f>
        <v>0.196652719665272</v>
      </c>
      <c r="P76" s="27"/>
      <c r="Q76" s="27" t="s">
        <v>148</v>
      </c>
      <c r="R76" s="27" t="s">
        <v>149</v>
      </c>
      <c r="S76" s="27" t="n">
        <v>75</v>
      </c>
      <c r="T76" s="27"/>
    </row>
    <row r="77" customFormat="false" ht="15" hidden="false" customHeight="false" outlineLevel="0" collapsed="false">
      <c r="A77" s="26" t="n">
        <v>46033</v>
      </c>
      <c r="B77" s="27" t="n">
        <v>2026</v>
      </c>
      <c r="C77" s="27" t="n">
        <v>1</v>
      </c>
      <c r="D77" s="27" t="s">
        <v>80</v>
      </c>
      <c r="E77" s="27" t="s">
        <v>93</v>
      </c>
      <c r="F77" s="27" t="s">
        <v>104</v>
      </c>
      <c r="G77" s="27" t="s">
        <v>116</v>
      </c>
      <c r="H77" s="28" t="n">
        <v>2</v>
      </c>
      <c r="I77" s="29" t="n">
        <v>620</v>
      </c>
      <c r="J77" s="29" t="n">
        <v>1240</v>
      </c>
      <c r="K77" s="29" t="n">
        <f aca="false">H77*I77</f>
        <v>1240</v>
      </c>
      <c r="L77" s="29" t="n">
        <f aca="false">IFERROR(INDEX(Cat_Productos!$B$2:$B$6,MATCH(G77,Cat_Productos!$A$2:$A$6,0)),"")</f>
        <v>290</v>
      </c>
      <c r="M77" s="29" t="n">
        <f aca="false">IF(L77="","",H77*L77)</f>
        <v>580</v>
      </c>
      <c r="N77" s="29" t="n">
        <f aca="false">IF(M77="","",J77-M77)</f>
        <v>660</v>
      </c>
      <c r="O77" s="30" t="n">
        <f aca="false">IFERROR(N77/J77,0)</f>
        <v>0.532258064516129</v>
      </c>
      <c r="P77" s="27"/>
      <c r="Q77" s="27" t="s">
        <v>148</v>
      </c>
      <c r="R77" s="27" t="s">
        <v>149</v>
      </c>
      <c r="S77" s="27" t="n">
        <v>174</v>
      </c>
      <c r="T77" s="27"/>
    </row>
    <row r="78" customFormat="false" ht="15" hidden="false" customHeight="false" outlineLevel="0" collapsed="false">
      <c r="A78" s="26" t="n">
        <v>46033</v>
      </c>
      <c r="B78" s="27" t="n">
        <v>2026</v>
      </c>
      <c r="C78" s="27" t="n">
        <v>1</v>
      </c>
      <c r="D78" s="27" t="s">
        <v>80</v>
      </c>
      <c r="E78" s="27" t="s">
        <v>91</v>
      </c>
      <c r="F78" s="27" t="s">
        <v>103</v>
      </c>
      <c r="G78" s="27" t="s">
        <v>117</v>
      </c>
      <c r="H78" s="28" t="n">
        <v>6</v>
      </c>
      <c r="I78" s="29" t="n">
        <v>1450</v>
      </c>
      <c r="J78" s="29" t="n">
        <v>8700</v>
      </c>
      <c r="K78" s="29" t="n">
        <f aca="false">H78*I78</f>
        <v>8700</v>
      </c>
      <c r="L78" s="29" t="n">
        <f aca="false">IFERROR(INDEX(Cat_Productos!$B$2:$B$6,MATCH(G78,Cat_Productos!$A$2:$A$6,0)),"")</f>
        <v>780</v>
      </c>
      <c r="M78" s="29" t="n">
        <f aca="false">IF(L78="","",H78*L78)</f>
        <v>4680</v>
      </c>
      <c r="N78" s="29" t="n">
        <f aca="false">IF(M78="","",J78-M78)</f>
        <v>4020</v>
      </c>
      <c r="O78" s="30" t="n">
        <f aca="false">IFERROR(N78/J78,0)</f>
        <v>0.462068965517241</v>
      </c>
      <c r="P78" s="27"/>
      <c r="Q78" s="27" t="s">
        <v>148</v>
      </c>
      <c r="R78" s="27" t="s">
        <v>149</v>
      </c>
      <c r="S78" s="27" t="n">
        <v>119</v>
      </c>
      <c r="T78" s="27"/>
    </row>
    <row r="79" customFormat="false" ht="15" hidden="false" customHeight="false" outlineLevel="0" collapsed="false">
      <c r="A79" s="26" t="n">
        <v>46033</v>
      </c>
      <c r="B79" s="27" t="n">
        <v>2026</v>
      </c>
      <c r="C79" s="27" t="n">
        <v>1</v>
      </c>
      <c r="D79" s="27" t="s">
        <v>80</v>
      </c>
      <c r="E79" s="27" t="s">
        <v>93</v>
      </c>
      <c r="F79" s="27" t="s">
        <v>108</v>
      </c>
      <c r="G79" s="27" t="s">
        <v>117</v>
      </c>
      <c r="H79" s="28" t="n">
        <v>2</v>
      </c>
      <c r="I79" s="29" t="n">
        <v>1450</v>
      </c>
      <c r="J79" s="29" t="n">
        <v>2900</v>
      </c>
      <c r="K79" s="29" t="n">
        <f aca="false">H79*I79</f>
        <v>2900</v>
      </c>
      <c r="L79" s="29" t="n">
        <f aca="false">IFERROR(INDEX(Cat_Productos!$B$2:$B$6,MATCH(G79,Cat_Productos!$A$2:$A$6,0)),"")</f>
        <v>780</v>
      </c>
      <c r="M79" s="29" t="n">
        <f aca="false">IF(L79="","",H79*L79)</f>
        <v>1560</v>
      </c>
      <c r="N79" s="29" t="n">
        <f aca="false">IF(M79="","",J79-M79)</f>
        <v>1340</v>
      </c>
      <c r="O79" s="30" t="n">
        <f aca="false">IFERROR(N79/J79,0)</f>
        <v>0.462068965517241</v>
      </c>
      <c r="P79" s="27"/>
      <c r="Q79" s="27" t="s">
        <v>148</v>
      </c>
      <c r="R79" s="27" t="s">
        <v>149</v>
      </c>
      <c r="S79" s="27" t="n">
        <v>57</v>
      </c>
      <c r="T79" s="27"/>
    </row>
    <row r="80" customFormat="false" ht="15" hidden="false" customHeight="false" outlineLevel="0" collapsed="false">
      <c r="A80" s="26" t="n">
        <v>46033</v>
      </c>
      <c r="B80" s="27" t="n">
        <v>2026</v>
      </c>
      <c r="C80" s="27" t="n">
        <v>1</v>
      </c>
      <c r="D80" s="27" t="s">
        <v>80</v>
      </c>
      <c r="E80" s="27" t="s">
        <v>93</v>
      </c>
      <c r="F80" s="27" t="s">
        <v>108</v>
      </c>
      <c r="G80" s="27" t="s">
        <v>116</v>
      </c>
      <c r="H80" s="28" t="n">
        <v>4</v>
      </c>
      <c r="I80" s="29" t="n">
        <v>620</v>
      </c>
      <c r="J80" s="29" t="n">
        <v>2480</v>
      </c>
      <c r="K80" s="29" t="n">
        <f aca="false">H80*I80</f>
        <v>2480</v>
      </c>
      <c r="L80" s="29" t="n">
        <f aca="false">IFERROR(INDEX(Cat_Productos!$B$2:$B$6,MATCH(G80,Cat_Productos!$A$2:$A$6,0)),"")</f>
        <v>290</v>
      </c>
      <c r="M80" s="29" t="n">
        <f aca="false">IF(L80="","",H80*L80)</f>
        <v>1160</v>
      </c>
      <c r="N80" s="29" t="n">
        <f aca="false">IF(M80="","",J80-M80)</f>
        <v>1320</v>
      </c>
      <c r="O80" s="30" t="n">
        <f aca="false">IFERROR(N80/J80,0)</f>
        <v>0.532258064516129</v>
      </c>
      <c r="P80" s="27"/>
      <c r="Q80" s="27" t="s">
        <v>148</v>
      </c>
      <c r="R80" s="27" t="s">
        <v>149</v>
      </c>
      <c r="S80" s="27" t="n">
        <v>71</v>
      </c>
      <c r="T80" s="27"/>
    </row>
    <row r="81" customFormat="false" ht="15" hidden="false" customHeight="false" outlineLevel="0" collapsed="false">
      <c r="A81" s="26" t="n">
        <v>46033</v>
      </c>
      <c r="B81" s="27" t="n">
        <v>2026</v>
      </c>
      <c r="C81" s="27" t="n">
        <v>1</v>
      </c>
      <c r="D81" s="27" t="s">
        <v>80</v>
      </c>
      <c r="E81" s="27" t="s">
        <v>93</v>
      </c>
      <c r="F81" s="27" t="s">
        <v>108</v>
      </c>
      <c r="G81" s="27" t="s">
        <v>116</v>
      </c>
      <c r="H81" s="28" t="n">
        <v>2</v>
      </c>
      <c r="I81" s="29" t="n">
        <v>620</v>
      </c>
      <c r="J81" s="29" t="n">
        <v>1240</v>
      </c>
      <c r="K81" s="29" t="n">
        <f aca="false">H81*I81</f>
        <v>1240</v>
      </c>
      <c r="L81" s="29" t="n">
        <f aca="false">IFERROR(INDEX(Cat_Productos!$B$2:$B$6,MATCH(G81,Cat_Productos!$A$2:$A$6,0)),"")</f>
        <v>290</v>
      </c>
      <c r="M81" s="29" t="n">
        <f aca="false">IF(L81="","",H81*L81)</f>
        <v>580</v>
      </c>
      <c r="N81" s="29" t="n">
        <f aca="false">IF(M81="","",J81-M81)</f>
        <v>660</v>
      </c>
      <c r="O81" s="30" t="n">
        <f aca="false">IFERROR(N81/J81,0)</f>
        <v>0.532258064516129</v>
      </c>
      <c r="P81" s="27"/>
      <c r="Q81" s="27" t="s">
        <v>148</v>
      </c>
      <c r="R81" s="27" t="s">
        <v>149</v>
      </c>
      <c r="S81" s="27" t="n">
        <v>69</v>
      </c>
      <c r="T81" s="27"/>
    </row>
    <row r="82" customFormat="false" ht="15" hidden="false" customHeight="false" outlineLevel="0" collapsed="false">
      <c r="A82" s="26" t="n">
        <v>46033</v>
      </c>
      <c r="B82" s="27" t="n">
        <v>2026</v>
      </c>
      <c r="C82" s="27" t="n">
        <v>1</v>
      </c>
      <c r="D82" s="27" t="s">
        <v>80</v>
      </c>
      <c r="E82" s="27" t="s">
        <v>93</v>
      </c>
      <c r="F82" s="27" t="s">
        <v>104</v>
      </c>
      <c r="G82" s="27" t="s">
        <v>116</v>
      </c>
      <c r="H82" s="28" t="n">
        <v>4</v>
      </c>
      <c r="I82" s="29" t="n">
        <v>620</v>
      </c>
      <c r="J82" s="29" t="n">
        <v>2480</v>
      </c>
      <c r="K82" s="29" t="n">
        <f aca="false">H82*I82</f>
        <v>2480</v>
      </c>
      <c r="L82" s="29" t="n">
        <f aca="false">IFERROR(INDEX(Cat_Productos!$B$2:$B$6,MATCH(G82,Cat_Productos!$A$2:$A$6,0)),"")</f>
        <v>290</v>
      </c>
      <c r="M82" s="29" t="n">
        <f aca="false">IF(L82="","",H82*L82)</f>
        <v>1160</v>
      </c>
      <c r="N82" s="29" t="n">
        <f aca="false">IF(M82="","",J82-M82)</f>
        <v>1320</v>
      </c>
      <c r="O82" s="30" t="n">
        <f aca="false">IFERROR(N82/J82,0)</f>
        <v>0.532258064516129</v>
      </c>
      <c r="P82" s="27"/>
      <c r="Q82" s="27" t="s">
        <v>148</v>
      </c>
      <c r="R82" s="27" t="s">
        <v>149</v>
      </c>
      <c r="S82" s="27" t="n">
        <v>180</v>
      </c>
      <c r="T82" s="27"/>
    </row>
    <row r="83" customFormat="false" ht="15" hidden="false" customHeight="false" outlineLevel="0" collapsed="false">
      <c r="A83" s="26" t="n">
        <v>46033</v>
      </c>
      <c r="B83" s="27" t="n">
        <v>2026</v>
      </c>
      <c r="C83" s="27" t="n">
        <v>1</v>
      </c>
      <c r="D83" s="27" t="s">
        <v>80</v>
      </c>
      <c r="E83" s="27" t="s">
        <v>91</v>
      </c>
      <c r="F83" s="27" t="s">
        <v>103</v>
      </c>
      <c r="G83" s="27" t="s">
        <v>116</v>
      </c>
      <c r="H83" s="28" t="n">
        <v>2</v>
      </c>
      <c r="I83" s="29" t="n">
        <v>620</v>
      </c>
      <c r="J83" s="29" t="n">
        <v>1240</v>
      </c>
      <c r="K83" s="29" t="n">
        <f aca="false">H83*I83</f>
        <v>1240</v>
      </c>
      <c r="L83" s="29" t="n">
        <f aca="false">IFERROR(INDEX(Cat_Productos!$B$2:$B$6,MATCH(G83,Cat_Productos!$A$2:$A$6,0)),"")</f>
        <v>290</v>
      </c>
      <c r="M83" s="29" t="n">
        <f aca="false">IF(L83="","",H83*L83)</f>
        <v>580</v>
      </c>
      <c r="N83" s="29" t="n">
        <f aca="false">IF(M83="","",J83-M83)</f>
        <v>660</v>
      </c>
      <c r="O83" s="30" t="n">
        <f aca="false">IFERROR(N83/J83,0)</f>
        <v>0.532258064516129</v>
      </c>
      <c r="P83" s="27"/>
      <c r="Q83" s="27" t="s">
        <v>148</v>
      </c>
      <c r="R83" s="27" t="s">
        <v>149</v>
      </c>
      <c r="S83" s="27" t="n">
        <v>137</v>
      </c>
      <c r="T83" s="27"/>
    </row>
    <row r="84" customFormat="false" ht="15" hidden="false" customHeight="false" outlineLevel="0" collapsed="false">
      <c r="A84" s="26" t="n">
        <v>46033</v>
      </c>
      <c r="B84" s="27" t="n">
        <v>2026</v>
      </c>
      <c r="C84" s="27" t="n">
        <v>1</v>
      </c>
      <c r="D84" s="27" t="s">
        <v>80</v>
      </c>
      <c r="E84" s="27" t="s">
        <v>91</v>
      </c>
      <c r="F84" s="27" t="s">
        <v>103</v>
      </c>
      <c r="G84" s="27" t="s">
        <v>117</v>
      </c>
      <c r="H84" s="28" t="n">
        <v>6</v>
      </c>
      <c r="I84" s="29" t="n">
        <v>1450</v>
      </c>
      <c r="J84" s="29" t="n">
        <v>8700</v>
      </c>
      <c r="K84" s="29" t="n">
        <f aca="false">H84*I84</f>
        <v>8700</v>
      </c>
      <c r="L84" s="29" t="n">
        <f aca="false">IFERROR(INDEX(Cat_Productos!$B$2:$B$6,MATCH(G84,Cat_Productos!$A$2:$A$6,0)),"")</f>
        <v>780</v>
      </c>
      <c r="M84" s="29" t="n">
        <f aca="false">IF(L84="","",H84*L84)</f>
        <v>4680</v>
      </c>
      <c r="N84" s="29" t="n">
        <f aca="false">IF(M84="","",J84-M84)</f>
        <v>4020</v>
      </c>
      <c r="O84" s="30" t="n">
        <f aca="false">IFERROR(N84/J84,0)</f>
        <v>0.462068965517241</v>
      </c>
      <c r="P84" s="27"/>
      <c r="Q84" s="27" t="s">
        <v>148</v>
      </c>
      <c r="R84" s="27" t="s">
        <v>149</v>
      </c>
      <c r="S84" s="27" t="n">
        <v>117</v>
      </c>
      <c r="T84" s="27"/>
    </row>
    <row r="85" customFormat="false" ht="15" hidden="false" customHeight="false" outlineLevel="0" collapsed="false">
      <c r="A85" s="26" t="n">
        <v>46033</v>
      </c>
      <c r="B85" s="27" t="n">
        <v>2026</v>
      </c>
      <c r="C85" s="27" t="n">
        <v>1</v>
      </c>
      <c r="D85" s="27" t="s">
        <v>80</v>
      </c>
      <c r="E85" s="27" t="s">
        <v>92</v>
      </c>
      <c r="F85" s="27" t="s">
        <v>105</v>
      </c>
      <c r="G85" s="27" t="s">
        <v>116</v>
      </c>
      <c r="H85" s="28" t="n">
        <v>6</v>
      </c>
      <c r="I85" s="29" t="n">
        <v>620</v>
      </c>
      <c r="J85" s="29" t="n">
        <v>3720</v>
      </c>
      <c r="K85" s="29" t="n">
        <f aca="false">H85*I85</f>
        <v>3720</v>
      </c>
      <c r="L85" s="29" t="n">
        <f aca="false">IFERROR(INDEX(Cat_Productos!$B$2:$B$6,MATCH(G85,Cat_Productos!$A$2:$A$6,0)),"")</f>
        <v>290</v>
      </c>
      <c r="M85" s="29" t="n">
        <f aca="false">IF(L85="","",H85*L85)</f>
        <v>1740</v>
      </c>
      <c r="N85" s="29" t="n">
        <f aca="false">IF(M85="","",J85-M85)</f>
        <v>1980</v>
      </c>
      <c r="O85" s="30" t="n">
        <f aca="false">IFERROR(N85/J85,0)</f>
        <v>0.532258064516129</v>
      </c>
      <c r="P85" s="27"/>
      <c r="Q85" s="27" t="s">
        <v>148</v>
      </c>
      <c r="R85" s="27" t="s">
        <v>149</v>
      </c>
      <c r="S85" s="27" t="n">
        <v>29</v>
      </c>
      <c r="T85" s="27"/>
    </row>
    <row r="86" customFormat="false" ht="15" hidden="false" customHeight="false" outlineLevel="0" collapsed="false">
      <c r="A86" s="26" t="n">
        <v>46035</v>
      </c>
      <c r="B86" s="27" t="n">
        <v>2026</v>
      </c>
      <c r="C86" s="27" t="n">
        <v>1</v>
      </c>
      <c r="D86" s="27" t="s">
        <v>80</v>
      </c>
      <c r="E86" s="27" t="s">
        <v>93</v>
      </c>
      <c r="F86" s="27" t="s">
        <v>108</v>
      </c>
      <c r="G86" s="27" t="s">
        <v>117</v>
      </c>
      <c r="H86" s="28" t="n">
        <v>6</v>
      </c>
      <c r="I86" s="29" t="n">
        <v>1450</v>
      </c>
      <c r="J86" s="29" t="n">
        <v>8700</v>
      </c>
      <c r="K86" s="29" t="n">
        <f aca="false">H86*I86</f>
        <v>8700</v>
      </c>
      <c r="L86" s="29" t="n">
        <f aca="false">IFERROR(INDEX(Cat_Productos!$B$2:$B$6,MATCH(G86,Cat_Productos!$A$2:$A$6,0)),"")</f>
        <v>780</v>
      </c>
      <c r="M86" s="29" t="n">
        <f aca="false">IF(L86="","",H86*L86)</f>
        <v>4680</v>
      </c>
      <c r="N86" s="29" t="n">
        <f aca="false">IF(M86="","",J86-M86)</f>
        <v>4020</v>
      </c>
      <c r="O86" s="30" t="n">
        <f aca="false">IFERROR(N86/J86,0)</f>
        <v>0.462068965517241</v>
      </c>
      <c r="P86" s="27"/>
      <c r="Q86" s="27" t="s">
        <v>148</v>
      </c>
      <c r="R86" s="27" t="s">
        <v>149</v>
      </c>
      <c r="S86" s="27" t="n">
        <v>62</v>
      </c>
      <c r="T86" s="27"/>
    </row>
    <row r="87" customFormat="false" ht="15" hidden="false" customHeight="false" outlineLevel="0" collapsed="false">
      <c r="A87" s="26" t="n">
        <v>46035</v>
      </c>
      <c r="B87" s="27" t="n">
        <v>2026</v>
      </c>
      <c r="C87" s="27" t="n">
        <v>1</v>
      </c>
      <c r="D87" s="27" t="s">
        <v>80</v>
      </c>
      <c r="E87" s="27" t="s">
        <v>92</v>
      </c>
      <c r="F87" s="27" t="s">
        <v>105</v>
      </c>
      <c r="G87" s="27" t="s">
        <v>117</v>
      </c>
      <c r="H87" s="28" t="n">
        <v>4</v>
      </c>
      <c r="I87" s="29" t="n">
        <v>1450</v>
      </c>
      <c r="J87" s="29" t="n">
        <v>5800</v>
      </c>
      <c r="K87" s="29" t="n">
        <f aca="false">H87*I87</f>
        <v>5800</v>
      </c>
      <c r="L87" s="29" t="n">
        <f aca="false">IFERROR(INDEX(Cat_Productos!$B$2:$B$6,MATCH(G87,Cat_Productos!$A$2:$A$6,0)),"")</f>
        <v>780</v>
      </c>
      <c r="M87" s="29" t="n">
        <f aca="false">IF(L87="","",H87*L87)</f>
        <v>3120</v>
      </c>
      <c r="N87" s="29" t="n">
        <f aca="false">IF(M87="","",J87-M87)</f>
        <v>2680</v>
      </c>
      <c r="O87" s="30" t="n">
        <f aca="false">IFERROR(N87/J87,0)</f>
        <v>0.462068965517241</v>
      </c>
      <c r="P87" s="27"/>
      <c r="Q87" s="27" t="s">
        <v>148</v>
      </c>
      <c r="R87" s="27" t="s">
        <v>149</v>
      </c>
      <c r="S87" s="27" t="n">
        <v>22</v>
      </c>
      <c r="T87" s="27"/>
    </row>
    <row r="88" customFormat="false" ht="15" hidden="false" customHeight="false" outlineLevel="0" collapsed="false">
      <c r="A88" s="26" t="n">
        <v>46035</v>
      </c>
      <c r="B88" s="27" t="n">
        <v>2026</v>
      </c>
      <c r="C88" s="27" t="n">
        <v>1</v>
      </c>
      <c r="D88" s="27" t="s">
        <v>80</v>
      </c>
      <c r="E88" s="27" t="s">
        <v>92</v>
      </c>
      <c r="F88" s="27" t="s">
        <v>105</v>
      </c>
      <c r="G88" s="27" t="s">
        <v>117</v>
      </c>
      <c r="H88" s="28" t="n">
        <v>6</v>
      </c>
      <c r="I88" s="29" t="n">
        <v>1450</v>
      </c>
      <c r="J88" s="29" t="n">
        <v>8700</v>
      </c>
      <c r="K88" s="29" t="n">
        <f aca="false">H88*I88</f>
        <v>8700</v>
      </c>
      <c r="L88" s="29" t="n">
        <f aca="false">IFERROR(INDEX(Cat_Productos!$B$2:$B$6,MATCH(G88,Cat_Productos!$A$2:$A$6,0)),"")</f>
        <v>780</v>
      </c>
      <c r="M88" s="29" t="n">
        <f aca="false">IF(L88="","",H88*L88)</f>
        <v>4680</v>
      </c>
      <c r="N88" s="29" t="n">
        <f aca="false">IF(M88="","",J88-M88)</f>
        <v>4020</v>
      </c>
      <c r="O88" s="30" t="n">
        <f aca="false">IFERROR(N88/J88,0)</f>
        <v>0.462068965517241</v>
      </c>
      <c r="P88" s="27"/>
      <c r="Q88" s="27" t="s">
        <v>148</v>
      </c>
      <c r="R88" s="27" t="s">
        <v>149</v>
      </c>
      <c r="S88" s="27" t="n">
        <v>14</v>
      </c>
      <c r="T88" s="27"/>
    </row>
    <row r="89" customFormat="false" ht="15" hidden="false" customHeight="false" outlineLevel="0" collapsed="false">
      <c r="A89" s="26" t="n">
        <v>46035</v>
      </c>
      <c r="B89" s="27" t="n">
        <v>2026</v>
      </c>
      <c r="C89" s="27" t="n">
        <v>1</v>
      </c>
      <c r="D89" s="27" t="s">
        <v>80</v>
      </c>
      <c r="E89" s="27" t="s">
        <v>91</v>
      </c>
      <c r="F89" s="27" t="s">
        <v>103</v>
      </c>
      <c r="G89" s="27" t="s">
        <v>117</v>
      </c>
      <c r="H89" s="28" t="n">
        <v>2</v>
      </c>
      <c r="I89" s="29" t="n">
        <v>1450</v>
      </c>
      <c r="J89" s="29" t="n">
        <v>2900</v>
      </c>
      <c r="K89" s="29" t="n">
        <f aca="false">H89*I89</f>
        <v>2900</v>
      </c>
      <c r="L89" s="29" t="n">
        <f aca="false">IFERROR(INDEX(Cat_Productos!$B$2:$B$6,MATCH(G89,Cat_Productos!$A$2:$A$6,0)),"")</f>
        <v>780</v>
      </c>
      <c r="M89" s="29" t="n">
        <f aca="false">IF(L89="","",H89*L89)</f>
        <v>1560</v>
      </c>
      <c r="N89" s="29" t="n">
        <f aca="false">IF(M89="","",J89-M89)</f>
        <v>1340</v>
      </c>
      <c r="O89" s="30" t="n">
        <f aca="false">IFERROR(N89/J89,0)</f>
        <v>0.462068965517241</v>
      </c>
      <c r="P89" s="27"/>
      <c r="Q89" s="27" t="s">
        <v>148</v>
      </c>
      <c r="R89" s="27" t="s">
        <v>149</v>
      </c>
      <c r="S89" s="27" t="n">
        <v>122</v>
      </c>
      <c r="T89" s="27"/>
    </row>
    <row r="90" customFormat="false" ht="15" hidden="false" customHeight="false" outlineLevel="0" collapsed="false">
      <c r="A90" s="26" t="n">
        <v>46035</v>
      </c>
      <c r="B90" s="27" t="n">
        <v>2026</v>
      </c>
      <c r="C90" s="27" t="n">
        <v>1</v>
      </c>
      <c r="D90" s="27" t="s">
        <v>80</v>
      </c>
      <c r="E90" s="27" t="s">
        <v>91</v>
      </c>
      <c r="F90" s="27" t="s">
        <v>103</v>
      </c>
      <c r="G90" s="27" t="s">
        <v>116</v>
      </c>
      <c r="H90" s="28" t="n">
        <v>6</v>
      </c>
      <c r="I90" s="29" t="n">
        <v>620</v>
      </c>
      <c r="J90" s="29" t="n">
        <v>3720</v>
      </c>
      <c r="K90" s="29" t="n">
        <f aca="false">H90*I90</f>
        <v>3720</v>
      </c>
      <c r="L90" s="29" t="n">
        <f aca="false">IFERROR(INDEX(Cat_Productos!$B$2:$B$6,MATCH(G90,Cat_Productos!$A$2:$A$6,0)),"")</f>
        <v>290</v>
      </c>
      <c r="M90" s="29" t="n">
        <f aca="false">IF(L90="","",H90*L90)</f>
        <v>1740</v>
      </c>
      <c r="N90" s="29" t="n">
        <f aca="false">IF(M90="","",J90-M90)</f>
        <v>1980</v>
      </c>
      <c r="O90" s="30" t="n">
        <f aca="false">IFERROR(N90/J90,0)</f>
        <v>0.532258064516129</v>
      </c>
      <c r="P90" s="27"/>
      <c r="Q90" s="27" t="s">
        <v>148</v>
      </c>
      <c r="R90" s="27" t="s">
        <v>149</v>
      </c>
      <c r="S90" s="27" t="n">
        <v>156</v>
      </c>
      <c r="T90" s="27"/>
    </row>
    <row r="91" customFormat="false" ht="15" hidden="false" customHeight="false" outlineLevel="0" collapsed="false">
      <c r="A91" s="26" t="n">
        <v>46035</v>
      </c>
      <c r="B91" s="27" t="n">
        <v>2026</v>
      </c>
      <c r="C91" s="27" t="n">
        <v>1</v>
      </c>
      <c r="D91" s="27" t="s">
        <v>80</v>
      </c>
      <c r="E91" s="27" t="s">
        <v>91</v>
      </c>
      <c r="F91" s="27" t="s">
        <v>103</v>
      </c>
      <c r="G91" s="27" t="s">
        <v>117</v>
      </c>
      <c r="H91" s="28" t="n">
        <v>6</v>
      </c>
      <c r="I91" s="29" t="n">
        <v>1450</v>
      </c>
      <c r="J91" s="29" t="n">
        <v>8700</v>
      </c>
      <c r="K91" s="29" t="n">
        <f aca="false">H91*I91</f>
        <v>8700</v>
      </c>
      <c r="L91" s="29" t="n">
        <f aca="false">IFERROR(INDEX(Cat_Productos!$B$2:$B$6,MATCH(G91,Cat_Productos!$A$2:$A$6,0)),"")</f>
        <v>780</v>
      </c>
      <c r="M91" s="29" t="n">
        <f aca="false">IF(L91="","",H91*L91)</f>
        <v>4680</v>
      </c>
      <c r="N91" s="29" t="n">
        <f aca="false">IF(M91="","",J91-M91)</f>
        <v>4020</v>
      </c>
      <c r="O91" s="30" t="n">
        <f aca="false">IFERROR(N91/J91,0)</f>
        <v>0.462068965517241</v>
      </c>
      <c r="P91" s="27"/>
      <c r="Q91" s="27" t="s">
        <v>148</v>
      </c>
      <c r="R91" s="27" t="s">
        <v>149</v>
      </c>
      <c r="S91" s="27" t="n">
        <v>126</v>
      </c>
      <c r="T91" s="27"/>
    </row>
    <row r="92" customFormat="false" ht="15" hidden="false" customHeight="false" outlineLevel="0" collapsed="false">
      <c r="A92" s="26" t="n">
        <v>46035</v>
      </c>
      <c r="B92" s="27" t="n">
        <v>2026</v>
      </c>
      <c r="C92" s="27" t="n">
        <v>1</v>
      </c>
      <c r="D92" s="27" t="s">
        <v>80</v>
      </c>
      <c r="E92" s="27" t="s">
        <v>91</v>
      </c>
      <c r="F92" s="27" t="s">
        <v>107</v>
      </c>
      <c r="G92" s="27" t="s">
        <v>116</v>
      </c>
      <c r="H92" s="28" t="n">
        <v>1</v>
      </c>
      <c r="I92" s="29" t="n">
        <v>620</v>
      </c>
      <c r="J92" s="29" t="n">
        <v>620</v>
      </c>
      <c r="K92" s="29" t="n">
        <f aca="false">H92*I92</f>
        <v>620</v>
      </c>
      <c r="L92" s="29" t="n">
        <f aca="false">IFERROR(INDEX(Cat_Productos!$B$2:$B$6,MATCH(G92,Cat_Productos!$A$2:$A$6,0)),"")</f>
        <v>290</v>
      </c>
      <c r="M92" s="29" t="n">
        <f aca="false">IF(L92="","",H92*L92)</f>
        <v>290</v>
      </c>
      <c r="N92" s="29" t="n">
        <f aca="false">IF(M92="","",J92-M92)</f>
        <v>330</v>
      </c>
      <c r="O92" s="30" t="n">
        <f aca="false">IFERROR(N92/J92,0)</f>
        <v>0.532258064516129</v>
      </c>
      <c r="P92" s="27"/>
      <c r="Q92" s="27" t="s">
        <v>148</v>
      </c>
      <c r="R92" s="27" t="s">
        <v>149</v>
      </c>
      <c r="S92" s="27" t="n">
        <v>108</v>
      </c>
      <c r="T92" s="27"/>
    </row>
    <row r="93" customFormat="false" ht="15" hidden="false" customHeight="false" outlineLevel="0" collapsed="false">
      <c r="A93" s="26" t="n">
        <v>46035</v>
      </c>
      <c r="B93" s="27" t="n">
        <v>2026</v>
      </c>
      <c r="C93" s="27" t="n">
        <v>1</v>
      </c>
      <c r="D93" s="27" t="s">
        <v>80</v>
      </c>
      <c r="E93" s="27" t="s">
        <v>92</v>
      </c>
      <c r="F93" s="27" t="s">
        <v>105</v>
      </c>
      <c r="G93" s="27" t="s">
        <v>117</v>
      </c>
      <c r="H93" s="28" t="n">
        <v>4</v>
      </c>
      <c r="I93" s="29" t="n">
        <v>1450</v>
      </c>
      <c r="J93" s="29" t="n">
        <v>5800</v>
      </c>
      <c r="K93" s="29" t="n">
        <f aca="false">H93*I93</f>
        <v>5800</v>
      </c>
      <c r="L93" s="29" t="n">
        <f aca="false">IFERROR(INDEX(Cat_Productos!$B$2:$B$6,MATCH(G93,Cat_Productos!$A$2:$A$6,0)),"")</f>
        <v>780</v>
      </c>
      <c r="M93" s="29" t="n">
        <f aca="false">IF(L93="","",H93*L93)</f>
        <v>3120</v>
      </c>
      <c r="N93" s="29" t="n">
        <f aca="false">IF(M93="","",J93-M93)</f>
        <v>2680</v>
      </c>
      <c r="O93" s="30" t="n">
        <f aca="false">IFERROR(N93/J93,0)</f>
        <v>0.462068965517241</v>
      </c>
      <c r="P93" s="27"/>
      <c r="Q93" s="27" t="s">
        <v>148</v>
      </c>
      <c r="R93" s="27" t="s">
        <v>149</v>
      </c>
      <c r="S93" s="27" t="n">
        <v>8</v>
      </c>
      <c r="T93" s="27"/>
    </row>
    <row r="94" customFormat="false" ht="15" hidden="false" customHeight="false" outlineLevel="0" collapsed="false">
      <c r="A94" s="26" t="n">
        <v>46035</v>
      </c>
      <c r="B94" s="27" t="n">
        <v>2026</v>
      </c>
      <c r="C94" s="27" t="n">
        <v>1</v>
      </c>
      <c r="D94" s="27" t="s">
        <v>80</v>
      </c>
      <c r="E94" s="27" t="s">
        <v>91</v>
      </c>
      <c r="F94" s="27" t="s">
        <v>107</v>
      </c>
      <c r="G94" s="27" t="s">
        <v>116</v>
      </c>
      <c r="H94" s="28" t="n">
        <v>6</v>
      </c>
      <c r="I94" s="29" t="n">
        <v>620</v>
      </c>
      <c r="J94" s="29" t="n">
        <v>3720</v>
      </c>
      <c r="K94" s="29" t="n">
        <f aca="false">H94*I94</f>
        <v>3720</v>
      </c>
      <c r="L94" s="29" t="n">
        <f aca="false">IFERROR(INDEX(Cat_Productos!$B$2:$B$6,MATCH(G94,Cat_Productos!$A$2:$A$6,0)),"")</f>
        <v>290</v>
      </c>
      <c r="M94" s="29" t="n">
        <f aca="false">IF(L94="","",H94*L94)</f>
        <v>1740</v>
      </c>
      <c r="N94" s="29" t="n">
        <f aca="false">IF(M94="","",J94-M94)</f>
        <v>1980</v>
      </c>
      <c r="O94" s="30" t="n">
        <f aca="false">IFERROR(N94/J94,0)</f>
        <v>0.532258064516129</v>
      </c>
      <c r="P94" s="27"/>
      <c r="Q94" s="27" t="s">
        <v>148</v>
      </c>
      <c r="R94" s="27" t="s">
        <v>149</v>
      </c>
      <c r="S94" s="27" t="n">
        <v>96</v>
      </c>
      <c r="T94" s="27"/>
    </row>
    <row r="95" customFormat="false" ht="15" hidden="false" customHeight="false" outlineLevel="0" collapsed="false">
      <c r="A95" s="26" t="n">
        <v>46035</v>
      </c>
      <c r="B95" s="27" t="n">
        <v>2026</v>
      </c>
      <c r="C95" s="27" t="n">
        <v>1</v>
      </c>
      <c r="D95" s="27" t="s">
        <v>80</v>
      </c>
      <c r="E95" s="27" t="s">
        <v>91</v>
      </c>
      <c r="F95" s="27" t="s">
        <v>103</v>
      </c>
      <c r="G95" s="27" t="s">
        <v>117</v>
      </c>
      <c r="H95" s="28" t="n">
        <v>2</v>
      </c>
      <c r="I95" s="29" t="n">
        <v>1450</v>
      </c>
      <c r="J95" s="29" t="n">
        <v>2900</v>
      </c>
      <c r="K95" s="29" t="n">
        <f aca="false">H95*I95</f>
        <v>2900</v>
      </c>
      <c r="L95" s="29" t="n">
        <f aca="false">IFERROR(INDEX(Cat_Productos!$B$2:$B$6,MATCH(G95,Cat_Productos!$A$2:$A$6,0)),"")</f>
        <v>780</v>
      </c>
      <c r="M95" s="29" t="n">
        <f aca="false">IF(L95="","",H95*L95)</f>
        <v>1560</v>
      </c>
      <c r="N95" s="29" t="n">
        <f aca="false">IF(M95="","",J95-M95)</f>
        <v>1340</v>
      </c>
      <c r="O95" s="30" t="n">
        <f aca="false">IFERROR(N95/J95,0)</f>
        <v>0.462068965517241</v>
      </c>
      <c r="P95" s="27"/>
      <c r="Q95" s="27" t="s">
        <v>148</v>
      </c>
      <c r="R95" s="27" t="s">
        <v>149</v>
      </c>
      <c r="S95" s="27" t="n">
        <v>128</v>
      </c>
      <c r="T95" s="27"/>
    </row>
    <row r="96" customFormat="false" ht="15" hidden="false" customHeight="false" outlineLevel="0" collapsed="false">
      <c r="A96" s="26" t="n">
        <v>46035</v>
      </c>
      <c r="B96" s="27" t="n">
        <v>2026</v>
      </c>
      <c r="C96" s="27" t="n">
        <v>1</v>
      </c>
      <c r="D96" s="27" t="s">
        <v>80</v>
      </c>
      <c r="E96" s="27" t="s">
        <v>91</v>
      </c>
      <c r="F96" s="27" t="s">
        <v>103</v>
      </c>
      <c r="G96" s="27" t="s">
        <v>116</v>
      </c>
      <c r="H96" s="28" t="n">
        <v>2</v>
      </c>
      <c r="I96" s="29" t="n">
        <v>620</v>
      </c>
      <c r="J96" s="29" t="n">
        <v>1240</v>
      </c>
      <c r="K96" s="29" t="n">
        <f aca="false">H96*I96</f>
        <v>1240</v>
      </c>
      <c r="L96" s="29" t="n">
        <f aca="false">IFERROR(INDEX(Cat_Productos!$B$2:$B$6,MATCH(G96,Cat_Productos!$A$2:$A$6,0)),"")</f>
        <v>290</v>
      </c>
      <c r="M96" s="29" t="n">
        <f aca="false">IF(L96="","",H96*L96)</f>
        <v>580</v>
      </c>
      <c r="N96" s="29" t="n">
        <f aca="false">IF(M96="","",J96-M96)</f>
        <v>660</v>
      </c>
      <c r="O96" s="30" t="n">
        <f aca="false">IFERROR(N96/J96,0)</f>
        <v>0.532258064516129</v>
      </c>
      <c r="P96" s="27"/>
      <c r="Q96" s="27" t="s">
        <v>148</v>
      </c>
      <c r="R96" s="27" t="s">
        <v>149</v>
      </c>
      <c r="S96" s="27" t="n">
        <v>154</v>
      </c>
      <c r="T96" s="27"/>
    </row>
    <row r="97" customFormat="false" ht="15" hidden="false" customHeight="false" outlineLevel="0" collapsed="false">
      <c r="A97" s="26" t="n">
        <v>46035</v>
      </c>
      <c r="B97" s="27" t="n">
        <v>2026</v>
      </c>
      <c r="C97" s="27" t="n">
        <v>1</v>
      </c>
      <c r="D97" s="27" t="s">
        <v>80</v>
      </c>
      <c r="E97" s="27" t="s">
        <v>93</v>
      </c>
      <c r="F97" s="27" t="s">
        <v>108</v>
      </c>
      <c r="G97" s="27" t="s">
        <v>117</v>
      </c>
      <c r="H97" s="28" t="n">
        <v>2</v>
      </c>
      <c r="I97" s="29" t="n">
        <v>1450</v>
      </c>
      <c r="J97" s="29" t="n">
        <v>2900</v>
      </c>
      <c r="K97" s="29" t="n">
        <f aca="false">H97*I97</f>
        <v>2900</v>
      </c>
      <c r="L97" s="29" t="n">
        <f aca="false">IFERROR(INDEX(Cat_Productos!$B$2:$B$6,MATCH(G97,Cat_Productos!$A$2:$A$6,0)),"")</f>
        <v>780</v>
      </c>
      <c r="M97" s="29" t="n">
        <f aca="false">IF(L97="","",H97*L97)</f>
        <v>1560</v>
      </c>
      <c r="N97" s="29" t="n">
        <f aca="false">IF(M97="","",J97-M97)</f>
        <v>1340</v>
      </c>
      <c r="O97" s="30" t="n">
        <f aca="false">IFERROR(N97/J97,0)</f>
        <v>0.462068965517241</v>
      </c>
      <c r="P97" s="27"/>
      <c r="Q97" s="27" t="s">
        <v>148</v>
      </c>
      <c r="R97" s="27" t="s">
        <v>149</v>
      </c>
      <c r="S97" s="27" t="n">
        <v>60</v>
      </c>
      <c r="T97" s="27"/>
    </row>
    <row r="98" customFormat="false" ht="15" hidden="false" customHeight="false" outlineLevel="0" collapsed="false">
      <c r="A98" s="26" t="n">
        <v>46037</v>
      </c>
      <c r="B98" s="27" t="n">
        <v>2026</v>
      </c>
      <c r="C98" s="27" t="n">
        <v>1</v>
      </c>
      <c r="D98" s="27" t="s">
        <v>80</v>
      </c>
      <c r="E98" s="27" t="s">
        <v>91</v>
      </c>
      <c r="F98" s="27" t="s">
        <v>103</v>
      </c>
      <c r="G98" s="27" t="s">
        <v>117</v>
      </c>
      <c r="H98" s="28" t="n">
        <v>4</v>
      </c>
      <c r="I98" s="29" t="n">
        <v>1450</v>
      </c>
      <c r="J98" s="29" t="n">
        <v>5800</v>
      </c>
      <c r="K98" s="29" t="n">
        <f aca="false">H98*I98</f>
        <v>5800</v>
      </c>
      <c r="L98" s="29" t="n">
        <f aca="false">IFERROR(INDEX(Cat_Productos!$B$2:$B$6,MATCH(G98,Cat_Productos!$A$2:$A$6,0)),"")</f>
        <v>780</v>
      </c>
      <c r="M98" s="29" t="n">
        <f aca="false">IF(L98="","",H98*L98)</f>
        <v>3120</v>
      </c>
      <c r="N98" s="29" t="n">
        <f aca="false">IF(M98="","",J98-M98)</f>
        <v>2680</v>
      </c>
      <c r="O98" s="30" t="n">
        <f aca="false">IFERROR(N98/J98,0)</f>
        <v>0.462068965517241</v>
      </c>
      <c r="P98" s="27"/>
      <c r="Q98" s="27" t="s">
        <v>148</v>
      </c>
      <c r="R98" s="27" t="s">
        <v>149</v>
      </c>
      <c r="S98" s="27" t="n">
        <v>125</v>
      </c>
      <c r="T98" s="27"/>
    </row>
    <row r="99" customFormat="false" ht="15" hidden="false" customHeight="false" outlineLevel="0" collapsed="false">
      <c r="A99" s="26" t="n">
        <v>46037</v>
      </c>
      <c r="B99" s="27" t="n">
        <v>2026</v>
      </c>
      <c r="C99" s="27" t="n">
        <v>1</v>
      </c>
      <c r="D99" s="27" t="s">
        <v>80</v>
      </c>
      <c r="E99" s="27" t="s">
        <v>91</v>
      </c>
      <c r="F99" s="27" t="s">
        <v>103</v>
      </c>
      <c r="G99" s="27" t="s">
        <v>117</v>
      </c>
      <c r="H99" s="28" t="n">
        <v>6</v>
      </c>
      <c r="I99" s="29" t="n">
        <v>1450</v>
      </c>
      <c r="J99" s="29" t="n">
        <v>8700</v>
      </c>
      <c r="K99" s="29" t="n">
        <f aca="false">H99*I99</f>
        <v>8700</v>
      </c>
      <c r="L99" s="29" t="n">
        <f aca="false">IFERROR(INDEX(Cat_Productos!$B$2:$B$6,MATCH(G99,Cat_Productos!$A$2:$A$6,0)),"")</f>
        <v>780</v>
      </c>
      <c r="M99" s="29" t="n">
        <f aca="false">IF(L99="","",H99*L99)</f>
        <v>4680</v>
      </c>
      <c r="N99" s="29" t="n">
        <f aca="false">IF(M99="","",J99-M99)</f>
        <v>4020</v>
      </c>
      <c r="O99" s="30" t="n">
        <f aca="false">IFERROR(N99/J99,0)</f>
        <v>0.462068965517241</v>
      </c>
      <c r="P99" s="27"/>
      <c r="Q99" s="27" t="s">
        <v>148</v>
      </c>
      <c r="R99" s="27" t="s">
        <v>149</v>
      </c>
      <c r="S99" s="27" t="n">
        <v>121</v>
      </c>
      <c r="T99" s="27"/>
    </row>
    <row r="100" customFormat="false" ht="15" hidden="false" customHeight="false" outlineLevel="0" collapsed="false">
      <c r="A100" s="26" t="n">
        <v>46037</v>
      </c>
      <c r="B100" s="27" t="n">
        <v>2026</v>
      </c>
      <c r="C100" s="27" t="n">
        <v>1</v>
      </c>
      <c r="D100" s="27" t="s">
        <v>80</v>
      </c>
      <c r="E100" s="27" t="s">
        <v>93</v>
      </c>
      <c r="F100" s="27" t="s">
        <v>108</v>
      </c>
      <c r="G100" s="27" t="s">
        <v>116</v>
      </c>
      <c r="H100" s="28" t="n">
        <v>6</v>
      </c>
      <c r="I100" s="29" t="n">
        <v>620</v>
      </c>
      <c r="J100" s="29" t="n">
        <v>3720</v>
      </c>
      <c r="K100" s="29" t="n">
        <f aca="false">H100*I100</f>
        <v>3720</v>
      </c>
      <c r="L100" s="29" t="n">
        <f aca="false">IFERROR(INDEX(Cat_Productos!$B$2:$B$6,MATCH(G100,Cat_Productos!$A$2:$A$6,0)),"")</f>
        <v>290</v>
      </c>
      <c r="M100" s="29" t="n">
        <f aca="false">IF(L100="","",H100*L100)</f>
        <v>1740</v>
      </c>
      <c r="N100" s="29" t="n">
        <f aca="false">IF(M100="","",J100-M100)</f>
        <v>1980</v>
      </c>
      <c r="O100" s="30" t="n">
        <f aca="false">IFERROR(N100/J100,0)</f>
        <v>0.532258064516129</v>
      </c>
      <c r="P100" s="27"/>
      <c r="Q100" s="27" t="s">
        <v>148</v>
      </c>
      <c r="R100" s="27" t="s">
        <v>149</v>
      </c>
      <c r="S100" s="27" t="n">
        <v>73</v>
      </c>
      <c r="T100" s="27"/>
    </row>
    <row r="101" customFormat="false" ht="15" hidden="false" customHeight="false" outlineLevel="0" collapsed="false">
      <c r="A101" s="26" t="n">
        <v>46037</v>
      </c>
      <c r="B101" s="27" t="n">
        <v>2026</v>
      </c>
      <c r="C101" s="27" t="n">
        <v>1</v>
      </c>
      <c r="D101" s="27" t="s">
        <v>80</v>
      </c>
      <c r="E101" s="27" t="s">
        <v>91</v>
      </c>
      <c r="F101" s="27" t="s">
        <v>107</v>
      </c>
      <c r="G101" s="27" t="s">
        <v>114</v>
      </c>
      <c r="H101" s="28" t="n">
        <v>2</v>
      </c>
      <c r="I101" s="29" t="n">
        <v>23900</v>
      </c>
      <c r="J101" s="29" t="n">
        <v>47800</v>
      </c>
      <c r="K101" s="29" t="n">
        <f aca="false">H101*I101</f>
        <v>47800</v>
      </c>
      <c r="L101" s="29" t="n">
        <f aca="false">IFERROR(INDEX(Cat_Productos!$B$2:$B$6,MATCH(G101,Cat_Productos!$A$2:$A$6,0)),"")</f>
        <v>19200</v>
      </c>
      <c r="M101" s="29" t="n">
        <f aca="false">IF(L101="","",H101*L101)</f>
        <v>38400</v>
      </c>
      <c r="N101" s="29" t="n">
        <f aca="false">IF(M101="","",J101-M101)</f>
        <v>9400</v>
      </c>
      <c r="O101" s="30" t="n">
        <f aca="false">IFERROR(N101/J101,0)</f>
        <v>0.196652719665272</v>
      </c>
      <c r="P101" s="27"/>
      <c r="Q101" s="27" t="s">
        <v>148</v>
      </c>
      <c r="R101" s="27" t="s">
        <v>149</v>
      </c>
      <c r="S101" s="27" t="n">
        <v>77</v>
      </c>
      <c r="T101" s="27"/>
    </row>
    <row r="102" customFormat="false" ht="15" hidden="false" customHeight="false" outlineLevel="0" collapsed="false">
      <c r="A102" s="26" t="n">
        <v>46037</v>
      </c>
      <c r="B102" s="27" t="n">
        <v>2026</v>
      </c>
      <c r="C102" s="27" t="n">
        <v>1</v>
      </c>
      <c r="D102" s="27" t="s">
        <v>80</v>
      </c>
      <c r="E102" s="27" t="s">
        <v>91</v>
      </c>
      <c r="F102" s="27" t="s">
        <v>103</v>
      </c>
      <c r="G102" s="27" t="s">
        <v>117</v>
      </c>
      <c r="H102" s="28" t="n">
        <v>6</v>
      </c>
      <c r="I102" s="29" t="n">
        <v>1450</v>
      </c>
      <c r="J102" s="29" t="n">
        <v>8700</v>
      </c>
      <c r="K102" s="29" t="n">
        <f aca="false">H102*I102</f>
        <v>8700</v>
      </c>
      <c r="L102" s="29" t="n">
        <f aca="false">IFERROR(INDEX(Cat_Productos!$B$2:$B$6,MATCH(G102,Cat_Productos!$A$2:$A$6,0)),"")</f>
        <v>780</v>
      </c>
      <c r="M102" s="29" t="n">
        <f aca="false">IF(L102="","",H102*L102)</f>
        <v>4680</v>
      </c>
      <c r="N102" s="29" t="n">
        <f aca="false">IF(M102="","",J102-M102)</f>
        <v>4020</v>
      </c>
      <c r="O102" s="30" t="n">
        <f aca="false">IFERROR(N102/J102,0)</f>
        <v>0.462068965517241</v>
      </c>
      <c r="P102" s="27"/>
      <c r="Q102" s="27" t="s">
        <v>148</v>
      </c>
      <c r="R102" s="27" t="s">
        <v>149</v>
      </c>
      <c r="S102" s="27" t="n">
        <v>115</v>
      </c>
      <c r="T102" s="27"/>
    </row>
    <row r="103" customFormat="false" ht="15" hidden="false" customHeight="false" outlineLevel="0" collapsed="false">
      <c r="A103" s="26" t="n">
        <v>46037</v>
      </c>
      <c r="B103" s="27" t="n">
        <v>2026</v>
      </c>
      <c r="C103" s="27" t="n">
        <v>1</v>
      </c>
      <c r="D103" s="27" t="s">
        <v>80</v>
      </c>
      <c r="E103" s="27" t="s">
        <v>91</v>
      </c>
      <c r="F103" s="27" t="s">
        <v>103</v>
      </c>
      <c r="G103" s="27" t="s">
        <v>117</v>
      </c>
      <c r="H103" s="28" t="n">
        <v>2</v>
      </c>
      <c r="I103" s="29" t="n">
        <v>1450</v>
      </c>
      <c r="J103" s="29" t="n">
        <v>2900</v>
      </c>
      <c r="K103" s="29" t="n">
        <f aca="false">H103*I103</f>
        <v>2900</v>
      </c>
      <c r="L103" s="29" t="n">
        <f aca="false">IFERROR(INDEX(Cat_Productos!$B$2:$B$6,MATCH(G103,Cat_Productos!$A$2:$A$6,0)),"")</f>
        <v>780</v>
      </c>
      <c r="M103" s="29" t="n">
        <f aca="false">IF(L103="","",H103*L103)</f>
        <v>1560</v>
      </c>
      <c r="N103" s="29" t="n">
        <f aca="false">IF(M103="","",J103-M103)</f>
        <v>1340</v>
      </c>
      <c r="O103" s="30" t="n">
        <f aca="false">IFERROR(N103/J103,0)</f>
        <v>0.462068965517241</v>
      </c>
      <c r="P103" s="27"/>
      <c r="Q103" s="27" t="s">
        <v>148</v>
      </c>
      <c r="R103" s="27" t="s">
        <v>149</v>
      </c>
      <c r="S103" s="27" t="n">
        <v>133</v>
      </c>
      <c r="T103" s="27"/>
    </row>
    <row r="104" customFormat="false" ht="15" hidden="false" customHeight="false" outlineLevel="0" collapsed="false">
      <c r="A104" s="31" t="n">
        <v>46037</v>
      </c>
      <c r="B104" s="32" t="n">
        <v>2026</v>
      </c>
      <c r="C104" s="32" t="n">
        <v>1</v>
      </c>
      <c r="D104" s="32" t="s">
        <v>80</v>
      </c>
      <c r="E104" s="32" t="s">
        <v>92</v>
      </c>
      <c r="F104" s="32" t="s">
        <v>105</v>
      </c>
      <c r="G104" s="32" t="s">
        <v>114</v>
      </c>
      <c r="H104" s="33" t="n">
        <v>1</v>
      </c>
      <c r="I104" s="34" t="n">
        <v>23900</v>
      </c>
      <c r="J104" s="34" t="n">
        <v>28900</v>
      </c>
      <c r="K104" s="34" t="n">
        <f aca="false">H104*I104</f>
        <v>23900</v>
      </c>
      <c r="L104" s="34" t="n">
        <f aca="false">IFERROR(INDEX(Cat_Productos!$B$2:$B$6,MATCH(G104,Cat_Productos!$A$2:$A$6,0)),"")</f>
        <v>19200</v>
      </c>
      <c r="M104" s="34" t="n">
        <f aca="false">IF(L104="","",H104*L104)</f>
        <v>19200</v>
      </c>
      <c r="N104" s="34" t="n">
        <f aca="false">IF(M104="","",J104-M104)</f>
        <v>9700</v>
      </c>
      <c r="O104" s="35" t="n">
        <f aca="false">IFERROR(N104/J104,0)</f>
        <v>0.335640138408305</v>
      </c>
      <c r="P104" s="32"/>
      <c r="Q104" s="32" t="s">
        <v>148</v>
      </c>
      <c r="R104" s="32" t="s">
        <v>149</v>
      </c>
      <c r="S104" s="32" t="n">
        <v>5</v>
      </c>
      <c r="T104" s="32" t="s">
        <v>150</v>
      </c>
    </row>
    <row r="105" customFormat="false" ht="15" hidden="false" customHeight="false" outlineLevel="0" collapsed="false">
      <c r="A105" s="26" t="n">
        <v>46037</v>
      </c>
      <c r="B105" s="27" t="n">
        <v>2026</v>
      </c>
      <c r="C105" s="27" t="n">
        <v>1</v>
      </c>
      <c r="D105" s="27" t="s">
        <v>80</v>
      </c>
      <c r="E105" s="27" t="s">
        <v>91</v>
      </c>
      <c r="F105" s="27" t="s">
        <v>103</v>
      </c>
      <c r="G105" s="27" t="s">
        <v>116</v>
      </c>
      <c r="H105" s="28" t="n">
        <v>2</v>
      </c>
      <c r="I105" s="29" t="n">
        <v>620</v>
      </c>
      <c r="J105" s="29" t="n">
        <v>1240</v>
      </c>
      <c r="K105" s="29" t="n">
        <f aca="false">H105*I105</f>
        <v>1240</v>
      </c>
      <c r="L105" s="29" t="n">
        <f aca="false">IFERROR(INDEX(Cat_Productos!$B$2:$B$6,MATCH(G105,Cat_Productos!$A$2:$A$6,0)),"")</f>
        <v>290</v>
      </c>
      <c r="M105" s="29" t="n">
        <f aca="false">IF(L105="","",H105*L105)</f>
        <v>580</v>
      </c>
      <c r="N105" s="29" t="n">
        <f aca="false">IF(M105="","",J105-M105)</f>
        <v>660</v>
      </c>
      <c r="O105" s="30" t="n">
        <f aca="false">IFERROR(N105/J105,0)</f>
        <v>0.532258064516129</v>
      </c>
      <c r="P105" s="27"/>
      <c r="Q105" s="27" t="s">
        <v>148</v>
      </c>
      <c r="R105" s="27" t="s">
        <v>149</v>
      </c>
      <c r="S105" s="27" t="n">
        <v>143</v>
      </c>
      <c r="T105" s="27"/>
    </row>
    <row r="106" customFormat="false" ht="15" hidden="false" customHeight="false" outlineLevel="0" collapsed="false">
      <c r="A106" s="26" t="n">
        <v>46037</v>
      </c>
      <c r="B106" s="27" t="n">
        <v>2026</v>
      </c>
      <c r="C106" s="27" t="n">
        <v>1</v>
      </c>
      <c r="D106" s="27" t="s">
        <v>80</v>
      </c>
      <c r="E106" s="27" t="s">
        <v>91</v>
      </c>
      <c r="F106" s="27" t="s">
        <v>107</v>
      </c>
      <c r="G106" s="27" t="s">
        <v>116</v>
      </c>
      <c r="H106" s="28" t="n">
        <v>6</v>
      </c>
      <c r="I106" s="29" t="n">
        <v>620</v>
      </c>
      <c r="J106" s="29" t="n">
        <v>3720</v>
      </c>
      <c r="K106" s="29" t="n">
        <f aca="false">H106*I106</f>
        <v>3720</v>
      </c>
      <c r="L106" s="29" t="n">
        <f aca="false">IFERROR(INDEX(Cat_Productos!$B$2:$B$6,MATCH(G106,Cat_Productos!$A$2:$A$6,0)),"")</f>
        <v>290</v>
      </c>
      <c r="M106" s="29" t="n">
        <f aca="false">IF(L106="","",H106*L106)</f>
        <v>1740</v>
      </c>
      <c r="N106" s="29" t="n">
        <f aca="false">IF(M106="","",J106-M106)</f>
        <v>1980</v>
      </c>
      <c r="O106" s="30" t="n">
        <f aca="false">IFERROR(N106/J106,0)</f>
        <v>0.532258064516129</v>
      </c>
      <c r="P106" s="27"/>
      <c r="Q106" s="27" t="s">
        <v>148</v>
      </c>
      <c r="R106" s="27" t="s">
        <v>149</v>
      </c>
      <c r="S106" s="27" t="n">
        <v>95</v>
      </c>
      <c r="T106" s="27"/>
    </row>
    <row r="107" customFormat="false" ht="15" hidden="false" customHeight="false" outlineLevel="0" collapsed="false">
      <c r="A107" s="26" t="n">
        <v>46037</v>
      </c>
      <c r="B107" s="27" t="n">
        <v>2026</v>
      </c>
      <c r="C107" s="27" t="n">
        <v>1</v>
      </c>
      <c r="D107" s="27" t="s">
        <v>80</v>
      </c>
      <c r="E107" s="27" t="s">
        <v>91</v>
      </c>
      <c r="F107" s="27" t="s">
        <v>103</v>
      </c>
      <c r="G107" s="27" t="s">
        <v>116</v>
      </c>
      <c r="H107" s="28" t="n">
        <v>2</v>
      </c>
      <c r="I107" s="29" t="n">
        <v>620</v>
      </c>
      <c r="J107" s="29" t="n">
        <v>1240</v>
      </c>
      <c r="K107" s="29" t="n">
        <f aca="false">H107*I107</f>
        <v>1240</v>
      </c>
      <c r="L107" s="29" t="n">
        <f aca="false">IFERROR(INDEX(Cat_Productos!$B$2:$B$6,MATCH(G107,Cat_Productos!$A$2:$A$6,0)),"")</f>
        <v>290</v>
      </c>
      <c r="M107" s="29" t="n">
        <f aca="false">IF(L107="","",H107*L107)</f>
        <v>580</v>
      </c>
      <c r="N107" s="29" t="n">
        <f aca="false">IF(M107="","",J107-M107)</f>
        <v>660</v>
      </c>
      <c r="O107" s="30" t="n">
        <f aca="false">IFERROR(N107/J107,0)</f>
        <v>0.532258064516129</v>
      </c>
      <c r="P107" s="27"/>
      <c r="Q107" s="27" t="s">
        <v>148</v>
      </c>
      <c r="R107" s="27" t="s">
        <v>149</v>
      </c>
      <c r="S107" s="27" t="n">
        <v>159</v>
      </c>
      <c r="T107" s="27"/>
    </row>
    <row r="108" customFormat="false" ht="15" hidden="false" customHeight="false" outlineLevel="0" collapsed="false">
      <c r="A108" s="26" t="n">
        <v>46037</v>
      </c>
      <c r="B108" s="27" t="n">
        <v>2026</v>
      </c>
      <c r="C108" s="27" t="n">
        <v>1</v>
      </c>
      <c r="D108" s="27" t="s">
        <v>80</v>
      </c>
      <c r="E108" s="27" t="s">
        <v>91</v>
      </c>
      <c r="F108" s="27" t="s">
        <v>107</v>
      </c>
      <c r="G108" s="27" t="s">
        <v>116</v>
      </c>
      <c r="H108" s="28" t="n">
        <v>2</v>
      </c>
      <c r="I108" s="29" t="n">
        <v>620</v>
      </c>
      <c r="J108" s="29" t="n">
        <v>1240</v>
      </c>
      <c r="K108" s="29" t="n">
        <f aca="false">H108*I108</f>
        <v>1240</v>
      </c>
      <c r="L108" s="29" t="n">
        <f aca="false">IFERROR(INDEX(Cat_Productos!$B$2:$B$6,MATCH(G108,Cat_Productos!$A$2:$A$6,0)),"")</f>
        <v>290</v>
      </c>
      <c r="M108" s="29" t="n">
        <f aca="false">IF(L108="","",H108*L108)</f>
        <v>580</v>
      </c>
      <c r="N108" s="29" t="n">
        <f aca="false">IF(M108="","",J108-M108)</f>
        <v>660</v>
      </c>
      <c r="O108" s="30" t="n">
        <f aca="false">IFERROR(N108/J108,0)</f>
        <v>0.532258064516129</v>
      </c>
      <c r="P108" s="27"/>
      <c r="Q108" s="27" t="s">
        <v>148</v>
      </c>
      <c r="R108" s="27" t="s">
        <v>149</v>
      </c>
      <c r="S108" s="27" t="n">
        <v>99</v>
      </c>
      <c r="T108" s="27"/>
    </row>
    <row r="109" customFormat="false" ht="15" hidden="false" customHeight="false" outlineLevel="0" collapsed="false">
      <c r="A109" s="26" t="n">
        <v>46037</v>
      </c>
      <c r="B109" s="27" t="n">
        <v>2026</v>
      </c>
      <c r="C109" s="27" t="n">
        <v>1</v>
      </c>
      <c r="D109" s="27" t="s">
        <v>80</v>
      </c>
      <c r="E109" s="27" t="s">
        <v>93</v>
      </c>
      <c r="F109" s="27" t="s">
        <v>104</v>
      </c>
      <c r="G109" s="27" t="s">
        <v>114</v>
      </c>
      <c r="H109" s="28" t="n">
        <v>6</v>
      </c>
      <c r="I109" s="29" t="n">
        <v>23900</v>
      </c>
      <c r="J109" s="29" t="n">
        <v>143400</v>
      </c>
      <c r="K109" s="29" t="n">
        <f aca="false">H109*I109</f>
        <v>143400</v>
      </c>
      <c r="L109" s="29" t="n">
        <f aca="false">IFERROR(INDEX(Cat_Productos!$B$2:$B$6,MATCH(G109,Cat_Productos!$A$2:$A$6,0)),"")</f>
        <v>19200</v>
      </c>
      <c r="M109" s="29" t="n">
        <f aca="false">IF(L109="","",H109*L109)</f>
        <v>115200</v>
      </c>
      <c r="N109" s="29" t="n">
        <f aca="false">IF(M109="","",J109-M109)</f>
        <v>28200</v>
      </c>
      <c r="O109" s="30" t="n">
        <f aca="false">IFERROR(N109/J109,0)</f>
        <v>0.196652719665272</v>
      </c>
      <c r="P109" s="27"/>
      <c r="Q109" s="27" t="s">
        <v>148</v>
      </c>
      <c r="R109" s="27" t="s">
        <v>149</v>
      </c>
      <c r="S109" s="27" t="n">
        <v>162</v>
      </c>
      <c r="T109" s="27"/>
    </row>
    <row r="110" customFormat="false" ht="15" hidden="false" customHeight="false" outlineLevel="0" collapsed="false">
      <c r="A110" s="26" t="n">
        <v>46037</v>
      </c>
      <c r="B110" s="27" t="n">
        <v>2026</v>
      </c>
      <c r="C110" s="27" t="n">
        <v>1</v>
      </c>
      <c r="D110" s="27" t="s">
        <v>80</v>
      </c>
      <c r="E110" s="27" t="s">
        <v>91</v>
      </c>
      <c r="F110" s="27" t="s">
        <v>107</v>
      </c>
      <c r="G110" s="27" t="s">
        <v>116</v>
      </c>
      <c r="H110" s="28" t="n">
        <v>4</v>
      </c>
      <c r="I110" s="29" t="n">
        <v>620</v>
      </c>
      <c r="J110" s="29" t="n">
        <v>2480</v>
      </c>
      <c r="K110" s="29" t="n">
        <f aca="false">H110*I110</f>
        <v>2480</v>
      </c>
      <c r="L110" s="29" t="n">
        <f aca="false">IFERROR(INDEX(Cat_Productos!$B$2:$B$6,MATCH(G110,Cat_Productos!$A$2:$A$6,0)),"")</f>
        <v>290</v>
      </c>
      <c r="M110" s="29" t="n">
        <f aca="false">IF(L110="","",H110*L110)</f>
        <v>1160</v>
      </c>
      <c r="N110" s="29" t="n">
        <f aca="false">IF(M110="","",J110-M110)</f>
        <v>1320</v>
      </c>
      <c r="O110" s="30" t="n">
        <f aca="false">IFERROR(N110/J110,0)</f>
        <v>0.532258064516129</v>
      </c>
      <c r="P110" s="27"/>
      <c r="Q110" s="27" t="s">
        <v>148</v>
      </c>
      <c r="R110" s="27" t="s">
        <v>149</v>
      </c>
      <c r="S110" s="27" t="n">
        <v>105</v>
      </c>
      <c r="T110" s="27"/>
    </row>
    <row r="111" customFormat="false" ht="15" hidden="false" customHeight="false" outlineLevel="0" collapsed="false">
      <c r="A111" s="26" t="n">
        <v>46039</v>
      </c>
      <c r="B111" s="27" t="n">
        <v>2026</v>
      </c>
      <c r="C111" s="27" t="n">
        <v>1</v>
      </c>
      <c r="D111" s="27" t="s">
        <v>80</v>
      </c>
      <c r="E111" s="27" t="s">
        <v>93</v>
      </c>
      <c r="F111" s="27" t="s">
        <v>108</v>
      </c>
      <c r="G111" s="27" t="s">
        <v>116</v>
      </c>
      <c r="H111" s="28" t="n">
        <v>6</v>
      </c>
      <c r="I111" s="29" t="n">
        <v>620</v>
      </c>
      <c r="J111" s="29" t="n">
        <v>3720</v>
      </c>
      <c r="K111" s="29" t="n">
        <f aca="false">H111*I111</f>
        <v>3720</v>
      </c>
      <c r="L111" s="29" t="n">
        <f aca="false">IFERROR(INDEX(Cat_Productos!$B$2:$B$6,MATCH(G111,Cat_Productos!$A$2:$A$6,0)),"")</f>
        <v>290</v>
      </c>
      <c r="M111" s="29" t="n">
        <f aca="false">IF(L111="","",H111*L111)</f>
        <v>1740</v>
      </c>
      <c r="N111" s="29" t="n">
        <f aca="false">IF(M111="","",J111-M111)</f>
        <v>1980</v>
      </c>
      <c r="O111" s="30" t="n">
        <f aca="false">IFERROR(N111/J111,0)</f>
        <v>0.532258064516129</v>
      </c>
      <c r="P111" s="27"/>
      <c r="Q111" s="27" t="s">
        <v>148</v>
      </c>
      <c r="R111" s="27" t="s">
        <v>149</v>
      </c>
      <c r="S111" s="27" t="n">
        <v>66</v>
      </c>
      <c r="T111" s="27"/>
    </row>
    <row r="112" customFormat="false" ht="15" hidden="false" customHeight="false" outlineLevel="0" collapsed="false">
      <c r="A112" s="26" t="n">
        <v>46039</v>
      </c>
      <c r="B112" s="27" t="n">
        <v>2026</v>
      </c>
      <c r="C112" s="27" t="n">
        <v>1</v>
      </c>
      <c r="D112" s="27" t="s">
        <v>80</v>
      </c>
      <c r="E112" s="27" t="s">
        <v>91</v>
      </c>
      <c r="F112" s="27" t="s">
        <v>103</v>
      </c>
      <c r="G112" s="27" t="s">
        <v>116</v>
      </c>
      <c r="H112" s="28" t="n">
        <v>4</v>
      </c>
      <c r="I112" s="29" t="n">
        <v>620</v>
      </c>
      <c r="J112" s="29" t="n">
        <v>2480</v>
      </c>
      <c r="K112" s="29" t="n">
        <f aca="false">H112*I112</f>
        <v>2480</v>
      </c>
      <c r="L112" s="29" t="n">
        <f aca="false">IFERROR(INDEX(Cat_Productos!$B$2:$B$6,MATCH(G112,Cat_Productos!$A$2:$A$6,0)),"")</f>
        <v>290</v>
      </c>
      <c r="M112" s="29" t="n">
        <f aca="false">IF(L112="","",H112*L112)</f>
        <v>1160</v>
      </c>
      <c r="N112" s="29" t="n">
        <f aca="false">IF(M112="","",J112-M112)</f>
        <v>1320</v>
      </c>
      <c r="O112" s="30" t="n">
        <f aca="false">IFERROR(N112/J112,0)</f>
        <v>0.532258064516129</v>
      </c>
      <c r="P112" s="27"/>
      <c r="Q112" s="27" t="s">
        <v>148</v>
      </c>
      <c r="R112" s="27" t="s">
        <v>149</v>
      </c>
      <c r="S112" s="27" t="n">
        <v>148</v>
      </c>
      <c r="T112" s="27"/>
    </row>
    <row r="113" customFormat="false" ht="15" hidden="false" customHeight="false" outlineLevel="0" collapsed="false">
      <c r="A113" s="26" t="n">
        <v>46039</v>
      </c>
      <c r="B113" s="27" t="n">
        <v>2026</v>
      </c>
      <c r="C113" s="27" t="n">
        <v>1</v>
      </c>
      <c r="D113" s="27" t="s">
        <v>80</v>
      </c>
      <c r="E113" s="27" t="s">
        <v>91</v>
      </c>
      <c r="F113" s="27" t="s">
        <v>107</v>
      </c>
      <c r="G113" s="27" t="s">
        <v>117</v>
      </c>
      <c r="H113" s="28" t="n">
        <v>2</v>
      </c>
      <c r="I113" s="29" t="n">
        <v>1450</v>
      </c>
      <c r="J113" s="29" t="n">
        <v>2900</v>
      </c>
      <c r="K113" s="29" t="n">
        <f aca="false">H113*I113</f>
        <v>2900</v>
      </c>
      <c r="L113" s="29" t="n">
        <f aca="false">IFERROR(INDEX(Cat_Productos!$B$2:$B$6,MATCH(G113,Cat_Productos!$A$2:$A$6,0)),"")</f>
        <v>780</v>
      </c>
      <c r="M113" s="29" t="n">
        <f aca="false">IF(L113="","",H113*L113)</f>
        <v>1560</v>
      </c>
      <c r="N113" s="29" t="n">
        <f aca="false">IF(M113="","",J113-M113)</f>
        <v>1340</v>
      </c>
      <c r="O113" s="30" t="n">
        <f aca="false">IFERROR(N113/J113,0)</f>
        <v>0.462068965517241</v>
      </c>
      <c r="P113" s="27"/>
      <c r="Q113" s="27" t="s">
        <v>148</v>
      </c>
      <c r="R113" s="27" t="s">
        <v>149</v>
      </c>
      <c r="S113" s="27" t="n">
        <v>90</v>
      </c>
      <c r="T113" s="27"/>
    </row>
    <row r="114" customFormat="false" ht="15" hidden="false" customHeight="false" outlineLevel="0" collapsed="false">
      <c r="A114" s="26" t="n">
        <v>46039</v>
      </c>
      <c r="B114" s="27" t="n">
        <v>2026</v>
      </c>
      <c r="C114" s="27" t="n">
        <v>1</v>
      </c>
      <c r="D114" s="27" t="s">
        <v>80</v>
      </c>
      <c r="E114" s="27" t="s">
        <v>93</v>
      </c>
      <c r="F114" s="27" t="s">
        <v>108</v>
      </c>
      <c r="G114" s="27" t="s">
        <v>116</v>
      </c>
      <c r="H114" s="28" t="n">
        <v>2</v>
      </c>
      <c r="I114" s="29" t="n">
        <v>620</v>
      </c>
      <c r="J114" s="29" t="n">
        <v>1240</v>
      </c>
      <c r="K114" s="29" t="n">
        <f aca="false">H114*I114</f>
        <v>1240</v>
      </c>
      <c r="L114" s="29" t="n">
        <f aca="false">IFERROR(INDEX(Cat_Productos!$B$2:$B$6,MATCH(G114,Cat_Productos!$A$2:$A$6,0)),"")</f>
        <v>290</v>
      </c>
      <c r="M114" s="29" t="n">
        <f aca="false">IF(L114="","",H114*L114)</f>
        <v>580</v>
      </c>
      <c r="N114" s="29" t="n">
        <f aca="false">IF(M114="","",J114-M114)</f>
        <v>660</v>
      </c>
      <c r="O114" s="30" t="n">
        <f aca="false">IFERROR(N114/J114,0)</f>
        <v>0.532258064516129</v>
      </c>
      <c r="P114" s="27"/>
      <c r="Q114" s="27" t="s">
        <v>148</v>
      </c>
      <c r="R114" s="27" t="s">
        <v>149</v>
      </c>
      <c r="S114" s="27" t="n">
        <v>70</v>
      </c>
      <c r="T114" s="27"/>
    </row>
    <row r="115" customFormat="false" ht="15" hidden="false" customHeight="false" outlineLevel="0" collapsed="false">
      <c r="A115" s="26" t="n">
        <v>46039</v>
      </c>
      <c r="B115" s="27" t="n">
        <v>2026</v>
      </c>
      <c r="C115" s="27" t="n">
        <v>1</v>
      </c>
      <c r="D115" s="27" t="s">
        <v>80</v>
      </c>
      <c r="E115" s="27" t="s">
        <v>93</v>
      </c>
      <c r="F115" s="27" t="s">
        <v>108</v>
      </c>
      <c r="G115" s="27" t="s">
        <v>116</v>
      </c>
      <c r="H115" s="28" t="n">
        <v>1</v>
      </c>
      <c r="I115" s="29" t="n">
        <v>620</v>
      </c>
      <c r="J115" s="29" t="n">
        <v>620</v>
      </c>
      <c r="K115" s="29" t="n">
        <f aca="false">H115*I115</f>
        <v>620</v>
      </c>
      <c r="L115" s="29" t="n">
        <f aca="false">IFERROR(INDEX(Cat_Productos!$B$2:$B$6,MATCH(G115,Cat_Productos!$A$2:$A$6,0)),"")</f>
        <v>290</v>
      </c>
      <c r="M115" s="29" t="n">
        <f aca="false">IF(L115="","",H115*L115)</f>
        <v>290</v>
      </c>
      <c r="N115" s="29" t="n">
        <f aca="false">IF(M115="","",J115-M115)</f>
        <v>330</v>
      </c>
      <c r="O115" s="30" t="n">
        <f aca="false">IFERROR(N115/J115,0)</f>
        <v>0.532258064516129</v>
      </c>
      <c r="P115" s="27"/>
      <c r="Q115" s="27" t="s">
        <v>148</v>
      </c>
      <c r="R115" s="27" t="s">
        <v>149</v>
      </c>
      <c r="S115" s="27" t="n">
        <v>74</v>
      </c>
      <c r="T115" s="27"/>
    </row>
    <row r="116" customFormat="false" ht="15" hidden="false" customHeight="false" outlineLevel="0" collapsed="false">
      <c r="A116" s="26" t="n">
        <v>46039</v>
      </c>
      <c r="B116" s="27" t="n">
        <v>2026</v>
      </c>
      <c r="C116" s="27" t="n">
        <v>1</v>
      </c>
      <c r="D116" s="27" t="s">
        <v>80</v>
      </c>
      <c r="E116" s="27" t="s">
        <v>91</v>
      </c>
      <c r="F116" s="27" t="s">
        <v>107</v>
      </c>
      <c r="G116" s="27" t="s">
        <v>117</v>
      </c>
      <c r="H116" s="28" t="n">
        <v>6</v>
      </c>
      <c r="I116" s="29" t="n">
        <v>1450</v>
      </c>
      <c r="J116" s="29" t="n">
        <v>8700</v>
      </c>
      <c r="K116" s="29" t="n">
        <f aca="false">H116*I116</f>
        <v>8700</v>
      </c>
      <c r="L116" s="29" t="n">
        <f aca="false">IFERROR(INDEX(Cat_Productos!$B$2:$B$6,MATCH(G116,Cat_Productos!$A$2:$A$6,0)),"")</f>
        <v>780</v>
      </c>
      <c r="M116" s="29" t="n">
        <f aca="false">IF(L116="","",H116*L116)</f>
        <v>4680</v>
      </c>
      <c r="N116" s="29" t="n">
        <f aca="false">IF(M116="","",J116-M116)</f>
        <v>4020</v>
      </c>
      <c r="O116" s="30" t="n">
        <f aca="false">IFERROR(N116/J116,0)</f>
        <v>0.462068965517241</v>
      </c>
      <c r="P116" s="27"/>
      <c r="Q116" s="27" t="s">
        <v>148</v>
      </c>
      <c r="R116" s="27" t="s">
        <v>149</v>
      </c>
      <c r="S116" s="27" t="n">
        <v>84</v>
      </c>
      <c r="T116" s="27"/>
    </row>
    <row r="117" customFormat="false" ht="15" hidden="false" customHeight="false" outlineLevel="0" collapsed="false">
      <c r="A117" s="26" t="n">
        <v>46039</v>
      </c>
      <c r="B117" s="27" t="n">
        <v>2026</v>
      </c>
      <c r="C117" s="27" t="n">
        <v>1</v>
      </c>
      <c r="D117" s="27" t="s">
        <v>80</v>
      </c>
      <c r="E117" s="27" t="s">
        <v>93</v>
      </c>
      <c r="F117" s="27" t="s">
        <v>104</v>
      </c>
      <c r="G117" s="27" t="s">
        <v>117</v>
      </c>
      <c r="H117" s="28" t="n">
        <v>6</v>
      </c>
      <c r="I117" s="29" t="n">
        <v>1450</v>
      </c>
      <c r="J117" s="29" t="n">
        <v>8700</v>
      </c>
      <c r="K117" s="29" t="n">
        <f aca="false">H117*I117</f>
        <v>8700</v>
      </c>
      <c r="L117" s="29" t="n">
        <f aca="false">IFERROR(INDEX(Cat_Productos!$B$2:$B$6,MATCH(G117,Cat_Productos!$A$2:$A$6,0)),"")</f>
        <v>780</v>
      </c>
      <c r="M117" s="29" t="n">
        <f aca="false">IF(L117="","",H117*L117)</f>
        <v>4680</v>
      </c>
      <c r="N117" s="29" t="n">
        <f aca="false">IF(M117="","",J117-M117)</f>
        <v>4020</v>
      </c>
      <c r="O117" s="30" t="n">
        <f aca="false">IFERROR(N117/J117,0)</f>
        <v>0.462068965517241</v>
      </c>
      <c r="P117" s="27"/>
      <c r="Q117" s="27" t="s">
        <v>148</v>
      </c>
      <c r="R117" s="27" t="s">
        <v>149</v>
      </c>
      <c r="S117" s="27" t="n">
        <v>167</v>
      </c>
      <c r="T117" s="27"/>
    </row>
    <row r="118" customFormat="false" ht="15" hidden="false" customHeight="false" outlineLevel="0" collapsed="false">
      <c r="A118" s="26" t="n">
        <v>46039</v>
      </c>
      <c r="B118" s="27" t="n">
        <v>2026</v>
      </c>
      <c r="C118" s="27" t="n">
        <v>1</v>
      </c>
      <c r="D118" s="27" t="s">
        <v>80</v>
      </c>
      <c r="E118" s="27" t="s">
        <v>93</v>
      </c>
      <c r="F118" s="27" t="s">
        <v>108</v>
      </c>
      <c r="G118" s="27" t="s">
        <v>114</v>
      </c>
      <c r="H118" s="28" t="n">
        <v>4</v>
      </c>
      <c r="I118" s="29" t="n">
        <v>23900</v>
      </c>
      <c r="J118" s="29" t="n">
        <v>95600</v>
      </c>
      <c r="K118" s="29" t="n">
        <f aca="false">H118*I118</f>
        <v>95600</v>
      </c>
      <c r="L118" s="29" t="n">
        <f aca="false">IFERROR(INDEX(Cat_Productos!$B$2:$B$6,MATCH(G118,Cat_Productos!$A$2:$A$6,0)),"")</f>
        <v>19200</v>
      </c>
      <c r="M118" s="29" t="n">
        <f aca="false">IF(L118="","",H118*L118)</f>
        <v>76800</v>
      </c>
      <c r="N118" s="29" t="n">
        <f aca="false">IF(M118="","",J118-M118)</f>
        <v>18800</v>
      </c>
      <c r="O118" s="30" t="n">
        <f aca="false">IFERROR(N118/J118,0)</f>
        <v>0.196652719665272</v>
      </c>
      <c r="P118" s="27"/>
      <c r="Q118" s="27" t="s">
        <v>148</v>
      </c>
      <c r="R118" s="27" t="s">
        <v>149</v>
      </c>
      <c r="S118" s="27" t="n">
        <v>50</v>
      </c>
      <c r="T118" s="27"/>
    </row>
    <row r="119" customFormat="false" ht="15" hidden="false" customHeight="false" outlineLevel="0" collapsed="false">
      <c r="A119" s="26" t="n">
        <v>46039</v>
      </c>
      <c r="B119" s="27" t="n">
        <v>2026</v>
      </c>
      <c r="C119" s="27" t="n">
        <v>1</v>
      </c>
      <c r="D119" s="27" t="s">
        <v>80</v>
      </c>
      <c r="E119" s="27" t="s">
        <v>92</v>
      </c>
      <c r="F119" s="27" t="s">
        <v>105</v>
      </c>
      <c r="G119" s="27" t="s">
        <v>117</v>
      </c>
      <c r="H119" s="28" t="n">
        <v>4</v>
      </c>
      <c r="I119" s="29" t="n">
        <v>1450</v>
      </c>
      <c r="J119" s="29" t="n">
        <v>5800</v>
      </c>
      <c r="K119" s="29" t="n">
        <f aca="false">H119*I119</f>
        <v>5800</v>
      </c>
      <c r="L119" s="29" t="n">
        <f aca="false">IFERROR(INDEX(Cat_Productos!$B$2:$B$6,MATCH(G119,Cat_Productos!$A$2:$A$6,0)),"")</f>
        <v>780</v>
      </c>
      <c r="M119" s="29" t="n">
        <f aca="false">IF(L119="","",H119*L119)</f>
        <v>3120</v>
      </c>
      <c r="N119" s="29" t="n">
        <f aca="false">IF(M119="","",J119-M119)</f>
        <v>2680</v>
      </c>
      <c r="O119" s="30" t="n">
        <f aca="false">IFERROR(N119/J119,0)</f>
        <v>0.462068965517241</v>
      </c>
      <c r="P119" s="27"/>
      <c r="Q119" s="27" t="s">
        <v>148</v>
      </c>
      <c r="R119" s="27" t="s">
        <v>149</v>
      </c>
      <c r="S119" s="27" t="n">
        <v>12</v>
      </c>
      <c r="T119" s="27"/>
    </row>
    <row r="120" customFormat="false" ht="15" hidden="false" customHeight="false" outlineLevel="0" collapsed="false">
      <c r="A120" s="26" t="n">
        <v>46039</v>
      </c>
      <c r="B120" s="27" t="n">
        <v>2026</v>
      </c>
      <c r="C120" s="27" t="n">
        <v>1</v>
      </c>
      <c r="D120" s="27" t="s">
        <v>80</v>
      </c>
      <c r="E120" s="27" t="s">
        <v>91</v>
      </c>
      <c r="F120" s="27" t="s">
        <v>103</v>
      </c>
      <c r="G120" s="27" t="s">
        <v>117</v>
      </c>
      <c r="H120" s="28" t="n">
        <v>2</v>
      </c>
      <c r="I120" s="29" t="n">
        <v>1450</v>
      </c>
      <c r="J120" s="29" t="n">
        <v>2900</v>
      </c>
      <c r="K120" s="29" t="n">
        <f aca="false">H120*I120</f>
        <v>2900</v>
      </c>
      <c r="L120" s="29" t="n">
        <f aca="false">IFERROR(INDEX(Cat_Productos!$B$2:$B$6,MATCH(G120,Cat_Productos!$A$2:$A$6,0)),"")</f>
        <v>780</v>
      </c>
      <c r="M120" s="29" t="n">
        <f aca="false">IF(L120="","",H120*L120)</f>
        <v>1560</v>
      </c>
      <c r="N120" s="29" t="n">
        <f aca="false">IF(M120="","",J120-M120)</f>
        <v>1340</v>
      </c>
      <c r="O120" s="30" t="n">
        <f aca="false">IFERROR(N120/J120,0)</f>
        <v>0.462068965517241</v>
      </c>
      <c r="P120" s="27"/>
      <c r="Q120" s="27" t="s">
        <v>148</v>
      </c>
      <c r="R120" s="27" t="s">
        <v>149</v>
      </c>
      <c r="S120" s="27" t="n">
        <v>134</v>
      </c>
      <c r="T120" s="27"/>
    </row>
    <row r="121" customFormat="false" ht="15" hidden="false" customHeight="false" outlineLevel="0" collapsed="false">
      <c r="A121" s="26" t="n">
        <v>46039</v>
      </c>
      <c r="B121" s="27" t="n">
        <v>2026</v>
      </c>
      <c r="C121" s="27" t="n">
        <v>1</v>
      </c>
      <c r="D121" s="27" t="s">
        <v>80</v>
      </c>
      <c r="E121" s="27" t="s">
        <v>92</v>
      </c>
      <c r="F121" s="27" t="s">
        <v>105</v>
      </c>
      <c r="G121" s="27" t="s">
        <v>116</v>
      </c>
      <c r="H121" s="28" t="n">
        <v>2</v>
      </c>
      <c r="I121" s="29" t="n">
        <v>620</v>
      </c>
      <c r="J121" s="29" t="n">
        <v>1240</v>
      </c>
      <c r="K121" s="29" t="n">
        <f aca="false">H121*I121</f>
        <v>1240</v>
      </c>
      <c r="L121" s="29" t="n">
        <f aca="false">IFERROR(INDEX(Cat_Productos!$B$2:$B$6,MATCH(G121,Cat_Productos!$A$2:$A$6,0)),"")</f>
        <v>290</v>
      </c>
      <c r="M121" s="29" t="n">
        <f aca="false">IF(L121="","",H121*L121)</f>
        <v>580</v>
      </c>
      <c r="N121" s="29" t="n">
        <f aca="false">IF(M121="","",J121-M121)</f>
        <v>660</v>
      </c>
      <c r="O121" s="30" t="n">
        <f aca="false">IFERROR(N121/J121,0)</f>
        <v>0.532258064516129</v>
      </c>
      <c r="P121" s="27"/>
      <c r="Q121" s="27" t="s">
        <v>148</v>
      </c>
      <c r="R121" s="27" t="s">
        <v>149</v>
      </c>
      <c r="S121" s="27" t="n">
        <v>28</v>
      </c>
      <c r="T121" s="27"/>
    </row>
    <row r="122" customFormat="false" ht="15" hidden="false" customHeight="false" outlineLevel="0" collapsed="false">
      <c r="A122" s="26" t="n">
        <v>46039</v>
      </c>
      <c r="B122" s="27" t="n">
        <v>2026</v>
      </c>
      <c r="C122" s="27" t="n">
        <v>1</v>
      </c>
      <c r="D122" s="27" t="s">
        <v>80</v>
      </c>
      <c r="E122" s="27" t="s">
        <v>93</v>
      </c>
      <c r="F122" s="27" t="s">
        <v>104</v>
      </c>
      <c r="G122" s="27" t="s">
        <v>117</v>
      </c>
      <c r="H122" s="28" t="n">
        <v>4</v>
      </c>
      <c r="I122" s="29" t="n">
        <v>1450</v>
      </c>
      <c r="J122" s="29" t="n">
        <v>5800</v>
      </c>
      <c r="K122" s="29" t="n">
        <f aca="false">H122*I122</f>
        <v>5800</v>
      </c>
      <c r="L122" s="29" t="n">
        <f aca="false">IFERROR(INDEX(Cat_Productos!$B$2:$B$6,MATCH(G122,Cat_Productos!$A$2:$A$6,0)),"")</f>
        <v>780</v>
      </c>
      <c r="M122" s="29" t="n">
        <f aca="false">IF(L122="","",H122*L122)</f>
        <v>3120</v>
      </c>
      <c r="N122" s="29" t="n">
        <f aca="false">IF(M122="","",J122-M122)</f>
        <v>2680</v>
      </c>
      <c r="O122" s="30" t="n">
        <f aca="false">IFERROR(N122/J122,0)</f>
        <v>0.462068965517241</v>
      </c>
      <c r="P122" s="27"/>
      <c r="Q122" s="27" t="s">
        <v>148</v>
      </c>
      <c r="R122" s="27" t="s">
        <v>149</v>
      </c>
      <c r="S122" s="27" t="n">
        <v>169</v>
      </c>
      <c r="T122" s="27"/>
    </row>
    <row r="123" customFormat="false" ht="15" hidden="false" customHeight="false" outlineLevel="0" collapsed="false">
      <c r="A123" s="26" t="n">
        <v>46039</v>
      </c>
      <c r="B123" s="27" t="n">
        <v>2026</v>
      </c>
      <c r="C123" s="27" t="n">
        <v>1</v>
      </c>
      <c r="D123" s="27" t="s">
        <v>80</v>
      </c>
      <c r="E123" s="27" t="s">
        <v>91</v>
      </c>
      <c r="F123" s="27" t="s">
        <v>107</v>
      </c>
      <c r="G123" s="27" t="s">
        <v>116</v>
      </c>
      <c r="H123" s="28" t="n">
        <v>2</v>
      </c>
      <c r="I123" s="29" t="n">
        <v>620</v>
      </c>
      <c r="J123" s="29" t="n">
        <v>1240</v>
      </c>
      <c r="K123" s="29" t="n">
        <f aca="false">H123*I123</f>
        <v>1240</v>
      </c>
      <c r="L123" s="29" t="n">
        <f aca="false">IFERROR(INDEX(Cat_Productos!$B$2:$B$6,MATCH(G123,Cat_Productos!$A$2:$A$6,0)),"")</f>
        <v>290</v>
      </c>
      <c r="M123" s="29" t="n">
        <f aca="false">IF(L123="","",H123*L123)</f>
        <v>580</v>
      </c>
      <c r="N123" s="29" t="n">
        <f aca="false">IF(M123="","",J123-M123)</f>
        <v>660</v>
      </c>
      <c r="O123" s="30" t="n">
        <f aca="false">IFERROR(N123/J123,0)</f>
        <v>0.532258064516129</v>
      </c>
      <c r="P123" s="27"/>
      <c r="Q123" s="27" t="s">
        <v>148</v>
      </c>
      <c r="R123" s="27" t="s">
        <v>149</v>
      </c>
      <c r="S123" s="27" t="n">
        <v>104</v>
      </c>
      <c r="T123" s="27"/>
    </row>
    <row r="124" customFormat="false" ht="15" hidden="false" customHeight="false" outlineLevel="0" collapsed="false">
      <c r="A124" s="26" t="n">
        <v>46039</v>
      </c>
      <c r="B124" s="27" t="n">
        <v>2026</v>
      </c>
      <c r="C124" s="27" t="n">
        <v>1</v>
      </c>
      <c r="D124" s="27" t="s">
        <v>80</v>
      </c>
      <c r="E124" s="27" t="s">
        <v>93</v>
      </c>
      <c r="F124" s="27" t="s">
        <v>108</v>
      </c>
      <c r="G124" s="27" t="s">
        <v>114</v>
      </c>
      <c r="H124" s="28" t="n">
        <v>5</v>
      </c>
      <c r="I124" s="29" t="n">
        <v>23900</v>
      </c>
      <c r="J124" s="29" t="n">
        <v>119500</v>
      </c>
      <c r="K124" s="29" t="n">
        <f aca="false">H124*I124</f>
        <v>119500</v>
      </c>
      <c r="L124" s="29" t="n">
        <f aca="false">IFERROR(INDEX(Cat_Productos!$B$2:$B$6,MATCH(G124,Cat_Productos!$A$2:$A$6,0)),"")</f>
        <v>19200</v>
      </c>
      <c r="M124" s="29" t="n">
        <f aca="false">IF(L124="","",H124*L124)</f>
        <v>96000</v>
      </c>
      <c r="N124" s="29" t="n">
        <f aca="false">IF(M124="","",J124-M124)</f>
        <v>23500</v>
      </c>
      <c r="O124" s="30" t="n">
        <f aca="false">IFERROR(N124/J124,0)</f>
        <v>0.196652719665272</v>
      </c>
      <c r="P124" s="27"/>
      <c r="Q124" s="27" t="s">
        <v>148</v>
      </c>
      <c r="R124" s="27" t="s">
        <v>149</v>
      </c>
      <c r="S124" s="27" t="n">
        <v>52</v>
      </c>
      <c r="T124" s="27"/>
    </row>
    <row r="125" customFormat="false" ht="15" hidden="false" customHeight="false" outlineLevel="0" collapsed="false">
      <c r="A125" s="26" t="n">
        <v>46041</v>
      </c>
      <c r="B125" s="27" t="n">
        <v>2026</v>
      </c>
      <c r="C125" s="27" t="n">
        <v>1</v>
      </c>
      <c r="D125" s="27" t="s">
        <v>80</v>
      </c>
      <c r="E125" s="27" t="s">
        <v>91</v>
      </c>
      <c r="F125" s="27" t="s">
        <v>103</v>
      </c>
      <c r="G125" s="27" t="s">
        <v>116</v>
      </c>
      <c r="H125" s="28" t="n">
        <v>4</v>
      </c>
      <c r="I125" s="29" t="n">
        <v>620</v>
      </c>
      <c r="J125" s="29" t="n">
        <v>2480</v>
      </c>
      <c r="K125" s="29" t="n">
        <f aca="false">H125*I125</f>
        <v>2480</v>
      </c>
      <c r="L125" s="29" t="n">
        <f aca="false">IFERROR(INDEX(Cat_Productos!$B$2:$B$6,MATCH(G125,Cat_Productos!$A$2:$A$6,0)),"")</f>
        <v>290</v>
      </c>
      <c r="M125" s="29" t="n">
        <f aca="false">IF(L125="","",H125*L125)</f>
        <v>1160</v>
      </c>
      <c r="N125" s="29" t="n">
        <f aca="false">IF(M125="","",J125-M125)</f>
        <v>1320</v>
      </c>
      <c r="O125" s="30" t="n">
        <f aca="false">IFERROR(N125/J125,0)</f>
        <v>0.532258064516129</v>
      </c>
      <c r="P125" s="27"/>
      <c r="Q125" s="27" t="s">
        <v>148</v>
      </c>
      <c r="R125" s="27" t="s">
        <v>149</v>
      </c>
      <c r="S125" s="27" t="n">
        <v>139</v>
      </c>
      <c r="T125" s="27"/>
    </row>
    <row r="126" customFormat="false" ht="15" hidden="false" customHeight="false" outlineLevel="0" collapsed="false">
      <c r="A126" s="26" t="n">
        <v>46041</v>
      </c>
      <c r="B126" s="27" t="n">
        <v>2026</v>
      </c>
      <c r="C126" s="27" t="n">
        <v>1</v>
      </c>
      <c r="D126" s="27" t="s">
        <v>80</v>
      </c>
      <c r="E126" s="27" t="s">
        <v>92</v>
      </c>
      <c r="F126" s="27" t="s">
        <v>105</v>
      </c>
      <c r="G126" s="27" t="s">
        <v>117</v>
      </c>
      <c r="H126" s="28" t="n">
        <v>4</v>
      </c>
      <c r="I126" s="29" t="n">
        <v>1450</v>
      </c>
      <c r="J126" s="29" t="n">
        <v>5800</v>
      </c>
      <c r="K126" s="29" t="n">
        <f aca="false">H126*I126</f>
        <v>5800</v>
      </c>
      <c r="L126" s="29" t="n">
        <f aca="false">IFERROR(INDEX(Cat_Productos!$B$2:$B$6,MATCH(G126,Cat_Productos!$A$2:$A$6,0)),"")</f>
        <v>780</v>
      </c>
      <c r="M126" s="29" t="n">
        <f aca="false">IF(L126="","",H126*L126)</f>
        <v>3120</v>
      </c>
      <c r="N126" s="29" t="n">
        <f aca="false">IF(M126="","",J126-M126)</f>
        <v>2680</v>
      </c>
      <c r="O126" s="30" t="n">
        <f aca="false">IFERROR(N126/J126,0)</f>
        <v>0.462068965517241</v>
      </c>
      <c r="P126" s="27"/>
      <c r="Q126" s="27" t="s">
        <v>148</v>
      </c>
      <c r="R126" s="27" t="s">
        <v>149</v>
      </c>
      <c r="S126" s="27" t="n">
        <v>15</v>
      </c>
      <c r="T126" s="27"/>
    </row>
    <row r="127" customFormat="false" ht="15" hidden="false" customHeight="false" outlineLevel="0" collapsed="false">
      <c r="A127" s="26" t="n">
        <v>46041</v>
      </c>
      <c r="B127" s="27" t="n">
        <v>2026</v>
      </c>
      <c r="C127" s="27" t="n">
        <v>1</v>
      </c>
      <c r="D127" s="27" t="s">
        <v>80</v>
      </c>
      <c r="E127" s="27" t="s">
        <v>92</v>
      </c>
      <c r="F127" s="27" t="s">
        <v>105</v>
      </c>
      <c r="G127" s="27" t="s">
        <v>117</v>
      </c>
      <c r="H127" s="28" t="n">
        <v>4</v>
      </c>
      <c r="I127" s="29" t="n">
        <v>1450</v>
      </c>
      <c r="J127" s="29" t="n">
        <v>5800</v>
      </c>
      <c r="K127" s="29" t="n">
        <f aca="false">H127*I127</f>
        <v>5800</v>
      </c>
      <c r="L127" s="29" t="n">
        <f aca="false">IFERROR(INDEX(Cat_Productos!$B$2:$B$6,MATCH(G127,Cat_Productos!$A$2:$A$6,0)),"")</f>
        <v>780</v>
      </c>
      <c r="M127" s="29" t="n">
        <f aca="false">IF(L127="","",H127*L127)</f>
        <v>3120</v>
      </c>
      <c r="N127" s="29" t="n">
        <f aca="false">IF(M127="","",J127-M127)</f>
        <v>2680</v>
      </c>
      <c r="O127" s="30" t="n">
        <f aca="false">IFERROR(N127/J127,0)</f>
        <v>0.462068965517241</v>
      </c>
      <c r="P127" s="27"/>
      <c r="Q127" s="27" t="s">
        <v>148</v>
      </c>
      <c r="R127" s="27" t="s">
        <v>149</v>
      </c>
      <c r="S127" s="27" t="n">
        <v>7</v>
      </c>
      <c r="T127" s="27"/>
    </row>
    <row r="128" customFormat="false" ht="15" hidden="false" customHeight="false" outlineLevel="0" collapsed="false">
      <c r="A128" s="26" t="n">
        <v>46041</v>
      </c>
      <c r="B128" s="27" t="n">
        <v>2026</v>
      </c>
      <c r="C128" s="27" t="n">
        <v>1</v>
      </c>
      <c r="D128" s="27" t="s">
        <v>80</v>
      </c>
      <c r="E128" s="27" t="s">
        <v>92</v>
      </c>
      <c r="F128" s="27" t="s">
        <v>105</v>
      </c>
      <c r="G128" s="27" t="s">
        <v>117</v>
      </c>
      <c r="H128" s="28" t="n">
        <v>6</v>
      </c>
      <c r="I128" s="29" t="n">
        <v>1450</v>
      </c>
      <c r="J128" s="29" t="n">
        <v>8700</v>
      </c>
      <c r="K128" s="29" t="n">
        <f aca="false">H128*I128</f>
        <v>8700</v>
      </c>
      <c r="L128" s="29" t="n">
        <f aca="false">IFERROR(INDEX(Cat_Productos!$B$2:$B$6,MATCH(G128,Cat_Productos!$A$2:$A$6,0)),"")</f>
        <v>780</v>
      </c>
      <c r="M128" s="29" t="n">
        <f aca="false">IF(L128="","",H128*L128)</f>
        <v>4680</v>
      </c>
      <c r="N128" s="29" t="n">
        <f aca="false">IF(M128="","",J128-M128)</f>
        <v>4020</v>
      </c>
      <c r="O128" s="30" t="n">
        <f aca="false">IFERROR(N128/J128,0)</f>
        <v>0.462068965517241</v>
      </c>
      <c r="P128" s="27"/>
      <c r="Q128" s="27" t="s">
        <v>148</v>
      </c>
      <c r="R128" s="27" t="s">
        <v>149</v>
      </c>
      <c r="S128" s="27" t="n">
        <v>11</v>
      </c>
      <c r="T128" s="27"/>
    </row>
    <row r="129" customFormat="false" ht="15" hidden="false" customHeight="false" outlineLevel="0" collapsed="false">
      <c r="A129" s="26" t="n">
        <v>46041</v>
      </c>
      <c r="B129" s="27" t="n">
        <v>2026</v>
      </c>
      <c r="C129" s="27" t="n">
        <v>1</v>
      </c>
      <c r="D129" s="27" t="s">
        <v>80</v>
      </c>
      <c r="E129" s="27" t="s">
        <v>91</v>
      </c>
      <c r="F129" s="27" t="s">
        <v>107</v>
      </c>
      <c r="G129" s="27" t="s">
        <v>116</v>
      </c>
      <c r="H129" s="28" t="n">
        <v>6</v>
      </c>
      <c r="I129" s="29" t="n">
        <v>620</v>
      </c>
      <c r="J129" s="29" t="n">
        <v>3720</v>
      </c>
      <c r="K129" s="29" t="n">
        <f aca="false">H129*I129</f>
        <v>3720</v>
      </c>
      <c r="L129" s="29" t="n">
        <f aca="false">IFERROR(INDEX(Cat_Productos!$B$2:$B$6,MATCH(G129,Cat_Productos!$A$2:$A$6,0)),"")</f>
        <v>290</v>
      </c>
      <c r="M129" s="29" t="n">
        <f aca="false">IF(L129="","",H129*L129)</f>
        <v>1740</v>
      </c>
      <c r="N129" s="29" t="n">
        <f aca="false">IF(M129="","",J129-M129)</f>
        <v>1980</v>
      </c>
      <c r="O129" s="30" t="n">
        <f aca="false">IFERROR(N129/J129,0)</f>
        <v>0.532258064516129</v>
      </c>
      <c r="P129" s="27"/>
      <c r="Q129" s="27" t="s">
        <v>148</v>
      </c>
      <c r="R129" s="27" t="s">
        <v>149</v>
      </c>
      <c r="S129" s="27" t="n">
        <v>107</v>
      </c>
      <c r="T129" s="27"/>
    </row>
    <row r="130" customFormat="false" ht="15" hidden="false" customHeight="false" outlineLevel="0" collapsed="false">
      <c r="A130" s="26" t="n">
        <v>46041</v>
      </c>
      <c r="B130" s="27" t="n">
        <v>2026</v>
      </c>
      <c r="C130" s="27" t="n">
        <v>1</v>
      </c>
      <c r="D130" s="27" t="s">
        <v>80</v>
      </c>
      <c r="E130" s="27" t="s">
        <v>93</v>
      </c>
      <c r="F130" s="27" t="s">
        <v>104</v>
      </c>
      <c r="G130" s="27" t="s">
        <v>117</v>
      </c>
      <c r="H130" s="28" t="n">
        <v>3</v>
      </c>
      <c r="I130" s="29" t="n">
        <v>1450</v>
      </c>
      <c r="J130" s="29" t="n">
        <v>4350</v>
      </c>
      <c r="K130" s="29" t="n">
        <f aca="false">H130*I130</f>
        <v>4350</v>
      </c>
      <c r="L130" s="29" t="n">
        <f aca="false">IFERROR(INDEX(Cat_Productos!$B$2:$B$6,MATCH(G130,Cat_Productos!$A$2:$A$6,0)),"")</f>
        <v>780</v>
      </c>
      <c r="M130" s="29" t="n">
        <f aca="false">IF(L130="","",H130*L130)</f>
        <v>2340</v>
      </c>
      <c r="N130" s="29" t="n">
        <f aca="false">IF(M130="","",J130-M130)</f>
        <v>2010</v>
      </c>
      <c r="O130" s="30" t="n">
        <f aca="false">IFERROR(N130/J130,0)</f>
        <v>0.462068965517241</v>
      </c>
      <c r="P130" s="27"/>
      <c r="Q130" s="27" t="s">
        <v>148</v>
      </c>
      <c r="R130" s="27" t="s">
        <v>149</v>
      </c>
      <c r="S130" s="27" t="n">
        <v>170</v>
      </c>
      <c r="T130" s="27"/>
    </row>
    <row r="131" customFormat="false" ht="15" hidden="false" customHeight="false" outlineLevel="0" collapsed="false">
      <c r="A131" s="26" t="n">
        <v>46041</v>
      </c>
      <c r="B131" s="27" t="n">
        <v>2026</v>
      </c>
      <c r="C131" s="27" t="n">
        <v>1</v>
      </c>
      <c r="D131" s="27" t="s">
        <v>80</v>
      </c>
      <c r="E131" s="27" t="s">
        <v>93</v>
      </c>
      <c r="F131" s="27" t="s">
        <v>108</v>
      </c>
      <c r="G131" s="27" t="s">
        <v>116</v>
      </c>
      <c r="H131" s="28" t="n">
        <v>4</v>
      </c>
      <c r="I131" s="29" t="n">
        <v>620</v>
      </c>
      <c r="J131" s="29" t="n">
        <v>2480</v>
      </c>
      <c r="K131" s="29" t="n">
        <f aca="false">H131*I131</f>
        <v>2480</v>
      </c>
      <c r="L131" s="29" t="n">
        <f aca="false">IFERROR(INDEX(Cat_Productos!$B$2:$B$6,MATCH(G131,Cat_Productos!$A$2:$A$6,0)),"")</f>
        <v>290</v>
      </c>
      <c r="M131" s="29" t="n">
        <f aca="false">IF(L131="","",H131*L131)</f>
        <v>1160</v>
      </c>
      <c r="N131" s="29" t="n">
        <f aca="false">IF(M131="","",J131-M131)</f>
        <v>1320</v>
      </c>
      <c r="O131" s="30" t="n">
        <f aca="false">IFERROR(N131/J131,0)</f>
        <v>0.532258064516129</v>
      </c>
      <c r="P131" s="27"/>
      <c r="Q131" s="27" t="s">
        <v>148</v>
      </c>
      <c r="R131" s="27" t="s">
        <v>149</v>
      </c>
      <c r="S131" s="27" t="n">
        <v>67</v>
      </c>
      <c r="T131" s="27"/>
    </row>
    <row r="132" customFormat="false" ht="15" hidden="false" customHeight="false" outlineLevel="0" collapsed="false">
      <c r="A132" s="26" t="n">
        <v>46041</v>
      </c>
      <c r="B132" s="27" t="n">
        <v>2026</v>
      </c>
      <c r="C132" s="27" t="n">
        <v>1</v>
      </c>
      <c r="D132" s="27" t="s">
        <v>80</v>
      </c>
      <c r="E132" s="27" t="s">
        <v>91</v>
      </c>
      <c r="F132" s="27" t="s">
        <v>103</v>
      </c>
      <c r="G132" s="27" t="s">
        <v>116</v>
      </c>
      <c r="H132" s="28" t="n">
        <v>6</v>
      </c>
      <c r="I132" s="29" t="n">
        <v>620</v>
      </c>
      <c r="J132" s="29" t="n">
        <v>3720</v>
      </c>
      <c r="K132" s="29" t="n">
        <f aca="false">H132*I132</f>
        <v>3720</v>
      </c>
      <c r="L132" s="29" t="n">
        <f aca="false">IFERROR(INDEX(Cat_Productos!$B$2:$B$6,MATCH(G132,Cat_Productos!$A$2:$A$6,0)),"")</f>
        <v>290</v>
      </c>
      <c r="M132" s="29" t="n">
        <f aca="false">IF(L132="","",H132*L132)</f>
        <v>1740</v>
      </c>
      <c r="N132" s="29" t="n">
        <f aca="false">IF(M132="","",J132-M132)</f>
        <v>1980</v>
      </c>
      <c r="O132" s="30" t="n">
        <f aca="false">IFERROR(N132/J132,0)</f>
        <v>0.532258064516129</v>
      </c>
      <c r="P132" s="27"/>
      <c r="Q132" s="27" t="s">
        <v>148</v>
      </c>
      <c r="R132" s="27" t="s">
        <v>149</v>
      </c>
      <c r="S132" s="27" t="n">
        <v>157</v>
      </c>
      <c r="T132" s="27"/>
    </row>
    <row r="133" customFormat="false" ht="15" hidden="false" customHeight="false" outlineLevel="0" collapsed="false">
      <c r="A133" s="26" t="n">
        <v>46041</v>
      </c>
      <c r="B133" s="27" t="n">
        <v>2026</v>
      </c>
      <c r="C133" s="27" t="n">
        <v>1</v>
      </c>
      <c r="D133" s="27" t="s">
        <v>80</v>
      </c>
      <c r="E133" s="27" t="s">
        <v>91</v>
      </c>
      <c r="F133" s="27" t="s">
        <v>107</v>
      </c>
      <c r="G133" s="27" t="s">
        <v>116</v>
      </c>
      <c r="H133" s="28" t="n">
        <v>2</v>
      </c>
      <c r="I133" s="29" t="n">
        <v>620</v>
      </c>
      <c r="J133" s="29" t="n">
        <v>1240</v>
      </c>
      <c r="K133" s="29" t="n">
        <f aca="false">H133*I133</f>
        <v>1240</v>
      </c>
      <c r="L133" s="29" t="n">
        <f aca="false">IFERROR(INDEX(Cat_Productos!$B$2:$B$6,MATCH(G133,Cat_Productos!$A$2:$A$6,0)),"")</f>
        <v>290</v>
      </c>
      <c r="M133" s="29" t="n">
        <f aca="false">IF(L133="","",H133*L133)</f>
        <v>580</v>
      </c>
      <c r="N133" s="29" t="n">
        <f aca="false">IF(M133="","",J133-M133)</f>
        <v>660</v>
      </c>
      <c r="O133" s="30" t="n">
        <f aca="false">IFERROR(N133/J133,0)</f>
        <v>0.532258064516129</v>
      </c>
      <c r="P133" s="27"/>
      <c r="Q133" s="27" t="s">
        <v>148</v>
      </c>
      <c r="R133" s="27" t="s">
        <v>149</v>
      </c>
      <c r="S133" s="27" t="n">
        <v>103</v>
      </c>
      <c r="T133" s="27"/>
    </row>
    <row r="134" customFormat="false" ht="15" hidden="false" customHeight="false" outlineLevel="0" collapsed="false">
      <c r="A134" s="26" t="n">
        <v>46041</v>
      </c>
      <c r="B134" s="27" t="n">
        <v>2026</v>
      </c>
      <c r="C134" s="27" t="n">
        <v>1</v>
      </c>
      <c r="D134" s="27" t="s">
        <v>80</v>
      </c>
      <c r="E134" s="27" t="s">
        <v>91</v>
      </c>
      <c r="F134" s="27" t="s">
        <v>103</v>
      </c>
      <c r="G134" s="27" t="s">
        <v>116</v>
      </c>
      <c r="H134" s="28" t="n">
        <v>1</v>
      </c>
      <c r="I134" s="29" t="n">
        <v>620</v>
      </c>
      <c r="J134" s="29" t="n">
        <v>620</v>
      </c>
      <c r="K134" s="29" t="n">
        <f aca="false">H134*I134</f>
        <v>620</v>
      </c>
      <c r="L134" s="29" t="n">
        <f aca="false">IFERROR(INDEX(Cat_Productos!$B$2:$B$6,MATCH(G134,Cat_Productos!$A$2:$A$6,0)),"")</f>
        <v>290</v>
      </c>
      <c r="M134" s="29" t="n">
        <f aca="false">IF(L134="","",H134*L134)</f>
        <v>290</v>
      </c>
      <c r="N134" s="29" t="n">
        <f aca="false">IF(M134="","",J134-M134)</f>
        <v>330</v>
      </c>
      <c r="O134" s="30" t="n">
        <f aca="false">IFERROR(N134/J134,0)</f>
        <v>0.532258064516129</v>
      </c>
      <c r="P134" s="27"/>
      <c r="Q134" s="27" t="s">
        <v>148</v>
      </c>
      <c r="R134" s="27" t="s">
        <v>149</v>
      </c>
      <c r="S134" s="27" t="n">
        <v>161</v>
      </c>
      <c r="T134" s="27"/>
    </row>
    <row r="135" customFormat="false" ht="15" hidden="false" customHeight="false" outlineLevel="0" collapsed="false">
      <c r="A135" s="26" t="n">
        <v>46041</v>
      </c>
      <c r="B135" s="27" t="n">
        <v>2026</v>
      </c>
      <c r="C135" s="27" t="n">
        <v>1</v>
      </c>
      <c r="D135" s="27" t="s">
        <v>80</v>
      </c>
      <c r="E135" s="27" t="s">
        <v>93</v>
      </c>
      <c r="F135" s="27" t="s">
        <v>104</v>
      </c>
      <c r="G135" s="27" t="s">
        <v>116</v>
      </c>
      <c r="H135" s="28" t="n">
        <v>2</v>
      </c>
      <c r="I135" s="29" t="n">
        <v>620</v>
      </c>
      <c r="J135" s="29" t="n">
        <v>1240</v>
      </c>
      <c r="K135" s="29" t="n">
        <f aca="false">H135*I135</f>
        <v>1240</v>
      </c>
      <c r="L135" s="29" t="n">
        <f aca="false">IFERROR(INDEX(Cat_Productos!$B$2:$B$6,MATCH(G135,Cat_Productos!$A$2:$A$6,0)),"")</f>
        <v>290</v>
      </c>
      <c r="M135" s="29" t="n">
        <f aca="false">IF(L135="","",H135*L135)</f>
        <v>580</v>
      </c>
      <c r="N135" s="29" t="n">
        <f aca="false">IF(M135="","",J135-M135)</f>
        <v>660</v>
      </c>
      <c r="O135" s="30" t="n">
        <f aca="false">IFERROR(N135/J135,0)</f>
        <v>0.532258064516129</v>
      </c>
      <c r="P135" s="27"/>
      <c r="Q135" s="27" t="s">
        <v>148</v>
      </c>
      <c r="R135" s="27" t="s">
        <v>149</v>
      </c>
      <c r="S135" s="27" t="n">
        <v>172</v>
      </c>
      <c r="T135" s="27"/>
    </row>
    <row r="136" customFormat="false" ht="15" hidden="false" customHeight="false" outlineLevel="0" collapsed="false">
      <c r="A136" s="26" t="n">
        <v>46041</v>
      </c>
      <c r="B136" s="27" t="n">
        <v>2026</v>
      </c>
      <c r="C136" s="27" t="n">
        <v>1</v>
      </c>
      <c r="D136" s="27" t="s">
        <v>80</v>
      </c>
      <c r="E136" s="27" t="s">
        <v>91</v>
      </c>
      <c r="F136" s="27" t="s">
        <v>107</v>
      </c>
      <c r="G136" s="27" t="s">
        <v>116</v>
      </c>
      <c r="H136" s="28" t="n">
        <v>4</v>
      </c>
      <c r="I136" s="29" t="n">
        <v>620</v>
      </c>
      <c r="J136" s="29" t="n">
        <v>2480</v>
      </c>
      <c r="K136" s="29" t="n">
        <f aca="false">H136*I136</f>
        <v>2480</v>
      </c>
      <c r="L136" s="29" t="n">
        <f aca="false">IFERROR(INDEX(Cat_Productos!$B$2:$B$6,MATCH(G136,Cat_Productos!$A$2:$A$6,0)),"")</f>
        <v>290</v>
      </c>
      <c r="M136" s="29" t="n">
        <f aca="false">IF(L136="","",H136*L136)</f>
        <v>1160</v>
      </c>
      <c r="N136" s="29" t="n">
        <f aca="false">IF(M136="","",J136-M136)</f>
        <v>1320</v>
      </c>
      <c r="O136" s="30" t="n">
        <f aca="false">IFERROR(N136/J136,0)</f>
        <v>0.532258064516129</v>
      </c>
      <c r="P136" s="27"/>
      <c r="Q136" s="27" t="s">
        <v>148</v>
      </c>
      <c r="R136" s="27" t="s">
        <v>149</v>
      </c>
      <c r="S136" s="27" t="n">
        <v>97</v>
      </c>
      <c r="T136" s="27"/>
    </row>
    <row r="137" customFormat="false" ht="15" hidden="false" customHeight="false" outlineLevel="0" collapsed="false">
      <c r="A137" s="26" t="n">
        <v>46041</v>
      </c>
      <c r="B137" s="27" t="n">
        <v>2026</v>
      </c>
      <c r="C137" s="27" t="n">
        <v>1</v>
      </c>
      <c r="D137" s="27" t="s">
        <v>80</v>
      </c>
      <c r="E137" s="27" t="s">
        <v>93</v>
      </c>
      <c r="F137" s="27" t="s">
        <v>104</v>
      </c>
      <c r="G137" s="27" t="s">
        <v>117</v>
      </c>
      <c r="H137" s="28" t="n">
        <v>2</v>
      </c>
      <c r="I137" s="29" t="n">
        <v>1450</v>
      </c>
      <c r="J137" s="29" t="n">
        <v>2900</v>
      </c>
      <c r="K137" s="29" t="n">
        <f aca="false">H137*I137</f>
        <v>2900</v>
      </c>
      <c r="L137" s="29" t="n">
        <f aca="false">IFERROR(INDEX(Cat_Productos!$B$2:$B$6,MATCH(G137,Cat_Productos!$A$2:$A$6,0)),"")</f>
        <v>780</v>
      </c>
      <c r="M137" s="29" t="n">
        <f aca="false">IF(L137="","",H137*L137)</f>
        <v>1560</v>
      </c>
      <c r="N137" s="29" t="n">
        <f aca="false">IF(M137="","",J137-M137)</f>
        <v>1340</v>
      </c>
      <c r="O137" s="30" t="n">
        <f aca="false">IFERROR(N137/J137,0)</f>
        <v>0.462068965517241</v>
      </c>
      <c r="P137" s="27"/>
      <c r="Q137" s="27" t="s">
        <v>148</v>
      </c>
      <c r="R137" s="27" t="s">
        <v>149</v>
      </c>
      <c r="S137" s="27" t="n">
        <v>164</v>
      </c>
      <c r="T137" s="27"/>
    </row>
    <row r="138" customFormat="false" ht="15" hidden="false" customHeight="false" outlineLevel="0" collapsed="false">
      <c r="A138" s="26" t="n">
        <v>46041</v>
      </c>
      <c r="B138" s="27" t="n">
        <v>2026</v>
      </c>
      <c r="C138" s="27" t="n">
        <v>1</v>
      </c>
      <c r="D138" s="27" t="s">
        <v>80</v>
      </c>
      <c r="E138" s="27" t="s">
        <v>92</v>
      </c>
      <c r="F138" s="27" t="s">
        <v>105</v>
      </c>
      <c r="G138" s="27" t="s">
        <v>116</v>
      </c>
      <c r="H138" s="28" t="n">
        <v>6</v>
      </c>
      <c r="I138" s="29" t="n">
        <v>620</v>
      </c>
      <c r="J138" s="29" t="n">
        <v>3720</v>
      </c>
      <c r="K138" s="29" t="n">
        <f aca="false">H138*I138</f>
        <v>3720</v>
      </c>
      <c r="L138" s="29" t="n">
        <f aca="false">IFERROR(INDEX(Cat_Productos!$B$2:$B$6,MATCH(G138,Cat_Productos!$A$2:$A$6,0)),"")</f>
        <v>290</v>
      </c>
      <c r="M138" s="29" t="n">
        <f aca="false">IF(L138="","",H138*L138)</f>
        <v>1740</v>
      </c>
      <c r="N138" s="29" t="n">
        <f aca="false">IF(M138="","",J138-M138)</f>
        <v>1980</v>
      </c>
      <c r="O138" s="30" t="n">
        <f aca="false">IFERROR(N138/J138,0)</f>
        <v>0.532258064516129</v>
      </c>
      <c r="P138" s="27"/>
      <c r="Q138" s="27" t="s">
        <v>148</v>
      </c>
      <c r="R138" s="27" t="s">
        <v>149</v>
      </c>
      <c r="S138" s="27" t="n">
        <v>39</v>
      </c>
      <c r="T138" s="27"/>
    </row>
    <row r="139" customFormat="false" ht="15" hidden="false" customHeight="false" outlineLevel="0" collapsed="false">
      <c r="A139" s="26" t="n">
        <v>46043</v>
      </c>
      <c r="B139" s="27" t="n">
        <v>2026</v>
      </c>
      <c r="C139" s="27" t="n">
        <v>1</v>
      </c>
      <c r="D139" s="27" t="s">
        <v>80</v>
      </c>
      <c r="E139" s="27" t="s">
        <v>92</v>
      </c>
      <c r="F139" s="27" t="s">
        <v>105</v>
      </c>
      <c r="G139" s="27" t="s">
        <v>116</v>
      </c>
      <c r="H139" s="28" t="n">
        <v>2</v>
      </c>
      <c r="I139" s="29" t="n">
        <v>620</v>
      </c>
      <c r="J139" s="29" t="n">
        <v>1240</v>
      </c>
      <c r="K139" s="29" t="n">
        <f aca="false">H139*I139</f>
        <v>1240</v>
      </c>
      <c r="L139" s="29" t="n">
        <f aca="false">IFERROR(INDEX(Cat_Productos!$B$2:$B$6,MATCH(G139,Cat_Productos!$A$2:$A$6,0)),"")</f>
        <v>290</v>
      </c>
      <c r="M139" s="29" t="n">
        <f aca="false">IF(L139="","",H139*L139)</f>
        <v>580</v>
      </c>
      <c r="N139" s="29" t="n">
        <f aca="false">IF(M139="","",J139-M139)</f>
        <v>660</v>
      </c>
      <c r="O139" s="30" t="n">
        <f aca="false">IFERROR(N139/J139,0)</f>
        <v>0.532258064516129</v>
      </c>
      <c r="P139" s="27"/>
      <c r="Q139" s="27" t="s">
        <v>148</v>
      </c>
      <c r="R139" s="27" t="s">
        <v>149</v>
      </c>
      <c r="S139" s="27" t="n">
        <v>46</v>
      </c>
      <c r="T139" s="27"/>
    </row>
    <row r="140" customFormat="false" ht="15" hidden="false" customHeight="false" outlineLevel="0" collapsed="false">
      <c r="A140" s="26" t="n">
        <v>46043</v>
      </c>
      <c r="B140" s="27" t="n">
        <v>2026</v>
      </c>
      <c r="C140" s="27" t="n">
        <v>1</v>
      </c>
      <c r="D140" s="27" t="s">
        <v>80</v>
      </c>
      <c r="E140" s="27" t="s">
        <v>92</v>
      </c>
      <c r="F140" s="27" t="s">
        <v>105</v>
      </c>
      <c r="G140" s="27" t="s">
        <v>116</v>
      </c>
      <c r="H140" s="28" t="n">
        <v>2</v>
      </c>
      <c r="I140" s="29" t="n">
        <v>620</v>
      </c>
      <c r="J140" s="29" t="n">
        <v>1240</v>
      </c>
      <c r="K140" s="29" t="n">
        <f aca="false">H140*I140</f>
        <v>1240</v>
      </c>
      <c r="L140" s="29" t="n">
        <f aca="false">IFERROR(INDEX(Cat_Productos!$B$2:$B$6,MATCH(G140,Cat_Productos!$A$2:$A$6,0)),"")</f>
        <v>290</v>
      </c>
      <c r="M140" s="29" t="n">
        <f aca="false">IF(L140="","",H140*L140)</f>
        <v>580</v>
      </c>
      <c r="N140" s="29" t="n">
        <f aca="false">IF(M140="","",J140-M140)</f>
        <v>660</v>
      </c>
      <c r="O140" s="30" t="n">
        <f aca="false">IFERROR(N140/J140,0)</f>
        <v>0.532258064516129</v>
      </c>
      <c r="P140" s="27"/>
      <c r="Q140" s="27" t="s">
        <v>148</v>
      </c>
      <c r="R140" s="27" t="s">
        <v>149</v>
      </c>
      <c r="S140" s="27" t="n">
        <v>44</v>
      </c>
      <c r="T140" s="27"/>
    </row>
    <row r="141" customFormat="false" ht="15" hidden="false" customHeight="false" outlineLevel="0" collapsed="false">
      <c r="A141" s="26" t="n">
        <v>46043</v>
      </c>
      <c r="B141" s="27" t="n">
        <v>2026</v>
      </c>
      <c r="C141" s="27" t="n">
        <v>1</v>
      </c>
      <c r="D141" s="27" t="s">
        <v>80</v>
      </c>
      <c r="E141" s="27" t="s">
        <v>92</v>
      </c>
      <c r="F141" s="27" t="s">
        <v>105</v>
      </c>
      <c r="G141" s="27" t="s">
        <v>116</v>
      </c>
      <c r="H141" s="28" t="n">
        <v>6</v>
      </c>
      <c r="I141" s="29" t="n">
        <v>620</v>
      </c>
      <c r="J141" s="29" t="n">
        <v>3720</v>
      </c>
      <c r="K141" s="29" t="n">
        <f aca="false">H141*I141</f>
        <v>3720</v>
      </c>
      <c r="L141" s="29" t="n">
        <f aca="false">IFERROR(INDEX(Cat_Productos!$B$2:$B$6,MATCH(G141,Cat_Productos!$A$2:$A$6,0)),"")</f>
        <v>290</v>
      </c>
      <c r="M141" s="29" t="n">
        <f aca="false">IF(L141="","",H141*L141)</f>
        <v>1740</v>
      </c>
      <c r="N141" s="29" t="n">
        <f aca="false">IF(M141="","",J141-M141)</f>
        <v>1980</v>
      </c>
      <c r="O141" s="30" t="n">
        <f aca="false">IFERROR(N141/J141,0)</f>
        <v>0.532258064516129</v>
      </c>
      <c r="P141" s="27"/>
      <c r="Q141" s="27" t="s">
        <v>148</v>
      </c>
      <c r="R141" s="27" t="s">
        <v>149</v>
      </c>
      <c r="S141" s="27" t="n">
        <v>40</v>
      </c>
      <c r="T141" s="27"/>
    </row>
    <row r="142" customFormat="false" ht="15" hidden="false" customHeight="false" outlineLevel="0" collapsed="false">
      <c r="A142" s="26" t="n">
        <v>46043</v>
      </c>
      <c r="B142" s="27" t="n">
        <v>2026</v>
      </c>
      <c r="C142" s="27" t="n">
        <v>1</v>
      </c>
      <c r="D142" s="27" t="s">
        <v>80</v>
      </c>
      <c r="E142" s="27" t="s">
        <v>92</v>
      </c>
      <c r="F142" s="27" t="s">
        <v>105</v>
      </c>
      <c r="G142" s="27" t="s">
        <v>117</v>
      </c>
      <c r="H142" s="28" t="n">
        <v>2</v>
      </c>
      <c r="I142" s="29" t="n">
        <v>1450</v>
      </c>
      <c r="J142" s="29" t="n">
        <v>2900</v>
      </c>
      <c r="K142" s="29" t="n">
        <f aca="false">H142*I142</f>
        <v>2900</v>
      </c>
      <c r="L142" s="29" t="n">
        <f aca="false">IFERROR(INDEX(Cat_Productos!$B$2:$B$6,MATCH(G142,Cat_Productos!$A$2:$A$6,0)),"")</f>
        <v>780</v>
      </c>
      <c r="M142" s="29" t="n">
        <f aca="false">IF(L142="","",H142*L142)</f>
        <v>1560</v>
      </c>
      <c r="N142" s="29" t="n">
        <f aca="false">IF(M142="","",J142-M142)</f>
        <v>1340</v>
      </c>
      <c r="O142" s="30" t="n">
        <f aca="false">IFERROR(N142/J142,0)</f>
        <v>0.462068965517241</v>
      </c>
      <c r="P142" s="27"/>
      <c r="Q142" s="27" t="s">
        <v>148</v>
      </c>
      <c r="R142" s="27" t="s">
        <v>149</v>
      </c>
      <c r="S142" s="27" t="n">
        <v>26</v>
      </c>
      <c r="T142" s="27"/>
    </row>
    <row r="143" customFormat="false" ht="15" hidden="false" customHeight="false" outlineLevel="0" collapsed="false">
      <c r="A143" s="26" t="n">
        <v>46043</v>
      </c>
      <c r="B143" s="27" t="n">
        <v>2026</v>
      </c>
      <c r="C143" s="27" t="n">
        <v>1</v>
      </c>
      <c r="D143" s="27" t="s">
        <v>80</v>
      </c>
      <c r="E143" s="27" t="s">
        <v>92</v>
      </c>
      <c r="F143" s="27" t="s">
        <v>105</v>
      </c>
      <c r="G143" s="27" t="s">
        <v>116</v>
      </c>
      <c r="H143" s="28" t="n">
        <v>2</v>
      </c>
      <c r="I143" s="29" t="n">
        <v>620</v>
      </c>
      <c r="J143" s="29" t="n">
        <v>1240</v>
      </c>
      <c r="K143" s="29" t="n">
        <f aca="false">H143*I143</f>
        <v>1240</v>
      </c>
      <c r="L143" s="29" t="n">
        <f aca="false">IFERROR(INDEX(Cat_Productos!$B$2:$B$6,MATCH(G143,Cat_Productos!$A$2:$A$6,0)),"")</f>
        <v>290</v>
      </c>
      <c r="M143" s="29" t="n">
        <f aca="false">IF(L143="","",H143*L143)</f>
        <v>580</v>
      </c>
      <c r="N143" s="29" t="n">
        <f aca="false">IF(M143="","",J143-M143)</f>
        <v>660</v>
      </c>
      <c r="O143" s="30" t="n">
        <f aca="false">IFERROR(N143/J143,0)</f>
        <v>0.532258064516129</v>
      </c>
      <c r="P143" s="27"/>
      <c r="Q143" s="27" t="s">
        <v>148</v>
      </c>
      <c r="R143" s="27" t="s">
        <v>149</v>
      </c>
      <c r="S143" s="27" t="n">
        <v>34</v>
      </c>
      <c r="T143" s="27"/>
    </row>
    <row r="144" customFormat="false" ht="15" hidden="false" customHeight="false" outlineLevel="0" collapsed="false">
      <c r="A144" s="26" t="n">
        <v>46043</v>
      </c>
      <c r="B144" s="27" t="n">
        <v>2026</v>
      </c>
      <c r="C144" s="27" t="n">
        <v>1</v>
      </c>
      <c r="D144" s="27" t="s">
        <v>80</v>
      </c>
      <c r="E144" s="27" t="s">
        <v>92</v>
      </c>
      <c r="F144" s="27" t="s">
        <v>105</v>
      </c>
      <c r="G144" s="27" t="s">
        <v>116</v>
      </c>
      <c r="H144" s="28" t="n">
        <v>2</v>
      </c>
      <c r="I144" s="29" t="n">
        <v>620</v>
      </c>
      <c r="J144" s="29" t="n">
        <v>1240</v>
      </c>
      <c r="K144" s="29" t="n">
        <f aca="false">H144*I144</f>
        <v>1240</v>
      </c>
      <c r="L144" s="29" t="n">
        <f aca="false">IFERROR(INDEX(Cat_Productos!$B$2:$B$6,MATCH(G144,Cat_Productos!$A$2:$A$6,0)),"")</f>
        <v>290</v>
      </c>
      <c r="M144" s="29" t="n">
        <f aca="false">IF(L144="","",H144*L144)</f>
        <v>580</v>
      </c>
      <c r="N144" s="29" t="n">
        <f aca="false">IF(M144="","",J144-M144)</f>
        <v>660</v>
      </c>
      <c r="O144" s="30" t="n">
        <f aca="false">IFERROR(N144/J144,0)</f>
        <v>0.532258064516129</v>
      </c>
      <c r="P144" s="27"/>
      <c r="Q144" s="27" t="s">
        <v>148</v>
      </c>
      <c r="R144" s="27" t="s">
        <v>149</v>
      </c>
      <c r="S144" s="27" t="n">
        <v>32</v>
      </c>
      <c r="T144" s="27"/>
    </row>
    <row r="145" customFormat="false" ht="15" hidden="false" customHeight="false" outlineLevel="0" collapsed="false">
      <c r="A145" s="26" t="n">
        <v>46043</v>
      </c>
      <c r="B145" s="27" t="n">
        <v>2026</v>
      </c>
      <c r="C145" s="27" t="n">
        <v>1</v>
      </c>
      <c r="D145" s="27" t="s">
        <v>80</v>
      </c>
      <c r="E145" s="27" t="s">
        <v>91</v>
      </c>
      <c r="F145" s="27" t="s">
        <v>103</v>
      </c>
      <c r="G145" s="27" t="s">
        <v>116</v>
      </c>
      <c r="H145" s="28" t="n">
        <v>2</v>
      </c>
      <c r="I145" s="29" t="n">
        <v>620</v>
      </c>
      <c r="J145" s="29" t="n">
        <v>1240</v>
      </c>
      <c r="K145" s="29" t="n">
        <f aca="false">H145*I145</f>
        <v>1240</v>
      </c>
      <c r="L145" s="29" t="n">
        <f aca="false">IFERROR(INDEX(Cat_Productos!$B$2:$B$6,MATCH(G145,Cat_Productos!$A$2:$A$6,0)),"")</f>
        <v>290</v>
      </c>
      <c r="M145" s="29" t="n">
        <f aca="false">IF(L145="","",H145*L145)</f>
        <v>580</v>
      </c>
      <c r="N145" s="29" t="n">
        <f aca="false">IF(M145="","",J145-M145)</f>
        <v>660</v>
      </c>
      <c r="O145" s="30" t="n">
        <f aca="false">IFERROR(N145/J145,0)</f>
        <v>0.532258064516129</v>
      </c>
      <c r="P145" s="27"/>
      <c r="Q145" s="27" t="s">
        <v>148</v>
      </c>
      <c r="R145" s="27" t="s">
        <v>149</v>
      </c>
      <c r="S145" s="27" t="n">
        <v>158</v>
      </c>
      <c r="T145" s="27"/>
    </row>
    <row r="146" customFormat="false" ht="15" hidden="false" customHeight="false" outlineLevel="0" collapsed="false">
      <c r="A146" s="26" t="n">
        <v>46043</v>
      </c>
      <c r="B146" s="27" t="n">
        <v>2026</v>
      </c>
      <c r="C146" s="27" t="n">
        <v>1</v>
      </c>
      <c r="D146" s="27" t="s">
        <v>80</v>
      </c>
      <c r="E146" s="27" t="s">
        <v>91</v>
      </c>
      <c r="F146" s="27" t="s">
        <v>103</v>
      </c>
      <c r="G146" s="27" t="s">
        <v>117</v>
      </c>
      <c r="H146" s="28" t="n">
        <v>6</v>
      </c>
      <c r="I146" s="29" t="n">
        <v>1450</v>
      </c>
      <c r="J146" s="29" t="n">
        <v>8700</v>
      </c>
      <c r="K146" s="29" t="n">
        <f aca="false">H146*I146</f>
        <v>8700</v>
      </c>
      <c r="L146" s="29" t="n">
        <f aca="false">IFERROR(INDEX(Cat_Productos!$B$2:$B$6,MATCH(G146,Cat_Productos!$A$2:$A$6,0)),"")</f>
        <v>780</v>
      </c>
      <c r="M146" s="29" t="n">
        <f aca="false">IF(L146="","",H146*L146)</f>
        <v>4680</v>
      </c>
      <c r="N146" s="29" t="n">
        <f aca="false">IF(M146="","",J146-M146)</f>
        <v>4020</v>
      </c>
      <c r="O146" s="30" t="n">
        <f aca="false">IFERROR(N146/J146,0)</f>
        <v>0.462068965517241</v>
      </c>
      <c r="P146" s="27"/>
      <c r="Q146" s="27" t="s">
        <v>148</v>
      </c>
      <c r="R146" s="27" t="s">
        <v>149</v>
      </c>
      <c r="S146" s="27" t="n">
        <v>114</v>
      </c>
      <c r="T146" s="27"/>
    </row>
    <row r="147" customFormat="false" ht="15" hidden="false" customHeight="false" outlineLevel="0" collapsed="false">
      <c r="A147" s="26" t="n">
        <v>46043</v>
      </c>
      <c r="B147" s="27" t="n">
        <v>2026</v>
      </c>
      <c r="C147" s="27" t="n">
        <v>1</v>
      </c>
      <c r="D147" s="27" t="s">
        <v>80</v>
      </c>
      <c r="E147" s="27" t="s">
        <v>91</v>
      </c>
      <c r="F147" s="27" t="s">
        <v>103</v>
      </c>
      <c r="G147" s="27" t="s">
        <v>116</v>
      </c>
      <c r="H147" s="28" t="n">
        <v>6</v>
      </c>
      <c r="I147" s="29" t="n">
        <v>620</v>
      </c>
      <c r="J147" s="29" t="n">
        <v>3720</v>
      </c>
      <c r="K147" s="29" t="n">
        <f aca="false">H147*I147</f>
        <v>3720</v>
      </c>
      <c r="L147" s="29" t="n">
        <f aca="false">IFERROR(INDEX(Cat_Productos!$B$2:$B$6,MATCH(G147,Cat_Productos!$A$2:$A$6,0)),"")</f>
        <v>290</v>
      </c>
      <c r="M147" s="29" t="n">
        <f aca="false">IF(L147="","",H147*L147)</f>
        <v>1740</v>
      </c>
      <c r="N147" s="29" t="n">
        <f aca="false">IF(M147="","",J147-M147)</f>
        <v>1980</v>
      </c>
      <c r="O147" s="30" t="n">
        <f aca="false">IFERROR(N147/J147,0)</f>
        <v>0.532258064516129</v>
      </c>
      <c r="P147" s="27"/>
      <c r="Q147" s="27" t="s">
        <v>148</v>
      </c>
      <c r="R147" s="27" t="s">
        <v>149</v>
      </c>
      <c r="S147" s="27" t="n">
        <v>140</v>
      </c>
      <c r="T147" s="27"/>
    </row>
    <row r="148" customFormat="false" ht="15" hidden="false" customHeight="false" outlineLevel="0" collapsed="false">
      <c r="A148" s="26" t="n">
        <v>46045</v>
      </c>
      <c r="B148" s="27" t="n">
        <v>2026</v>
      </c>
      <c r="C148" s="27" t="n">
        <v>1</v>
      </c>
      <c r="D148" s="27" t="s">
        <v>80</v>
      </c>
      <c r="E148" s="27" t="s">
        <v>91</v>
      </c>
      <c r="F148" s="27" t="s">
        <v>103</v>
      </c>
      <c r="G148" s="27" t="s">
        <v>116</v>
      </c>
      <c r="H148" s="28" t="n">
        <v>6</v>
      </c>
      <c r="I148" s="29" t="n">
        <v>620</v>
      </c>
      <c r="J148" s="29" t="n">
        <v>3720</v>
      </c>
      <c r="K148" s="29" t="n">
        <f aca="false">H148*I148</f>
        <v>3720</v>
      </c>
      <c r="L148" s="29" t="n">
        <f aca="false">IFERROR(INDEX(Cat_Productos!$B$2:$B$6,MATCH(G148,Cat_Productos!$A$2:$A$6,0)),"")</f>
        <v>290</v>
      </c>
      <c r="M148" s="29" t="n">
        <f aca="false">IF(L148="","",H148*L148)</f>
        <v>1740</v>
      </c>
      <c r="N148" s="29" t="n">
        <f aca="false">IF(M148="","",J148-M148)</f>
        <v>1980</v>
      </c>
      <c r="O148" s="30" t="n">
        <f aca="false">IFERROR(N148/J148,0)</f>
        <v>0.532258064516129</v>
      </c>
      <c r="P148" s="27"/>
      <c r="Q148" s="27" t="s">
        <v>148</v>
      </c>
      <c r="R148" s="27" t="s">
        <v>149</v>
      </c>
      <c r="S148" s="27" t="n">
        <v>153</v>
      </c>
      <c r="T148" s="27"/>
    </row>
    <row r="149" customFormat="false" ht="15" hidden="false" customHeight="false" outlineLevel="0" collapsed="false">
      <c r="A149" s="26" t="n">
        <v>46045</v>
      </c>
      <c r="B149" s="27" t="n">
        <v>2026</v>
      </c>
      <c r="C149" s="27" t="n">
        <v>1</v>
      </c>
      <c r="D149" s="27" t="s">
        <v>80</v>
      </c>
      <c r="E149" s="27" t="s">
        <v>93</v>
      </c>
      <c r="F149" s="27" t="s">
        <v>104</v>
      </c>
      <c r="G149" s="27" t="s">
        <v>117</v>
      </c>
      <c r="H149" s="28" t="n">
        <v>6</v>
      </c>
      <c r="I149" s="29" t="n">
        <v>1450</v>
      </c>
      <c r="J149" s="29" t="n">
        <v>8700</v>
      </c>
      <c r="K149" s="29" t="n">
        <f aca="false">H149*I149</f>
        <v>8700</v>
      </c>
      <c r="L149" s="29" t="n">
        <f aca="false">IFERROR(INDEX(Cat_Productos!$B$2:$B$6,MATCH(G149,Cat_Productos!$A$2:$A$6,0)),"")</f>
        <v>780</v>
      </c>
      <c r="M149" s="29" t="n">
        <f aca="false">IF(L149="","",H149*L149)</f>
        <v>4680</v>
      </c>
      <c r="N149" s="29" t="n">
        <f aca="false">IF(M149="","",J149-M149)</f>
        <v>4020</v>
      </c>
      <c r="O149" s="30" t="n">
        <f aca="false">IFERROR(N149/J149,0)</f>
        <v>0.462068965517241</v>
      </c>
      <c r="P149" s="27"/>
      <c r="Q149" s="27" t="s">
        <v>148</v>
      </c>
      <c r="R149" s="27" t="s">
        <v>149</v>
      </c>
      <c r="S149" s="27" t="n">
        <v>168</v>
      </c>
      <c r="T149" s="27"/>
    </row>
    <row r="150" customFormat="false" ht="15" hidden="false" customHeight="false" outlineLevel="0" collapsed="false">
      <c r="A150" s="26" t="n">
        <v>46045</v>
      </c>
      <c r="B150" s="27" t="n">
        <v>2026</v>
      </c>
      <c r="C150" s="27" t="n">
        <v>1</v>
      </c>
      <c r="D150" s="27" t="s">
        <v>80</v>
      </c>
      <c r="E150" s="27" t="s">
        <v>91</v>
      </c>
      <c r="F150" s="27" t="s">
        <v>103</v>
      </c>
      <c r="G150" s="27" t="s">
        <v>116</v>
      </c>
      <c r="H150" s="28" t="n">
        <v>4</v>
      </c>
      <c r="I150" s="29" t="n">
        <v>620</v>
      </c>
      <c r="J150" s="29" t="n">
        <v>2480</v>
      </c>
      <c r="K150" s="29" t="n">
        <f aca="false">H150*I150</f>
        <v>2480</v>
      </c>
      <c r="L150" s="29" t="n">
        <f aca="false">IFERROR(INDEX(Cat_Productos!$B$2:$B$6,MATCH(G150,Cat_Productos!$A$2:$A$6,0)),"")</f>
        <v>290</v>
      </c>
      <c r="M150" s="29" t="n">
        <f aca="false">IF(L150="","",H150*L150)</f>
        <v>1160</v>
      </c>
      <c r="N150" s="29" t="n">
        <f aca="false">IF(M150="","",J150-M150)</f>
        <v>1320</v>
      </c>
      <c r="O150" s="30" t="n">
        <f aca="false">IFERROR(N150/J150,0)</f>
        <v>0.532258064516129</v>
      </c>
      <c r="P150" s="27"/>
      <c r="Q150" s="27" t="s">
        <v>148</v>
      </c>
      <c r="R150" s="27" t="s">
        <v>149</v>
      </c>
      <c r="S150" s="27" t="n">
        <v>155</v>
      </c>
      <c r="T150" s="27"/>
    </row>
    <row r="151" customFormat="false" ht="15" hidden="false" customHeight="false" outlineLevel="0" collapsed="false">
      <c r="A151" s="26" t="n">
        <v>46045</v>
      </c>
      <c r="B151" s="27" t="n">
        <v>2026</v>
      </c>
      <c r="C151" s="27" t="n">
        <v>1</v>
      </c>
      <c r="D151" s="27" t="s">
        <v>80</v>
      </c>
      <c r="E151" s="27" t="s">
        <v>91</v>
      </c>
      <c r="F151" s="27" t="s">
        <v>103</v>
      </c>
      <c r="G151" s="27" t="s">
        <v>116</v>
      </c>
      <c r="H151" s="28" t="n">
        <v>2</v>
      </c>
      <c r="I151" s="29" t="n">
        <v>620</v>
      </c>
      <c r="J151" s="29" t="n">
        <v>1240</v>
      </c>
      <c r="K151" s="29" t="n">
        <f aca="false">H151*I151</f>
        <v>1240</v>
      </c>
      <c r="L151" s="29" t="n">
        <f aca="false">IFERROR(INDEX(Cat_Productos!$B$2:$B$6,MATCH(G151,Cat_Productos!$A$2:$A$6,0)),"")</f>
        <v>290</v>
      </c>
      <c r="M151" s="29" t="n">
        <f aca="false">IF(L151="","",H151*L151)</f>
        <v>580</v>
      </c>
      <c r="N151" s="29" t="n">
        <f aca="false">IF(M151="","",J151-M151)</f>
        <v>660</v>
      </c>
      <c r="O151" s="30" t="n">
        <f aca="false">IFERROR(N151/J151,0)</f>
        <v>0.532258064516129</v>
      </c>
      <c r="P151" s="27"/>
      <c r="Q151" s="27" t="s">
        <v>148</v>
      </c>
      <c r="R151" s="27" t="s">
        <v>149</v>
      </c>
      <c r="S151" s="27" t="n">
        <v>141</v>
      </c>
      <c r="T151" s="27"/>
    </row>
    <row r="152" customFormat="false" ht="15" hidden="false" customHeight="false" outlineLevel="0" collapsed="false">
      <c r="A152" s="26" t="n">
        <v>46045</v>
      </c>
      <c r="B152" s="27" t="n">
        <v>2026</v>
      </c>
      <c r="C152" s="27" t="n">
        <v>1</v>
      </c>
      <c r="D152" s="27" t="s">
        <v>80</v>
      </c>
      <c r="E152" s="27" t="s">
        <v>91</v>
      </c>
      <c r="F152" s="27" t="s">
        <v>103</v>
      </c>
      <c r="G152" s="27" t="s">
        <v>116</v>
      </c>
      <c r="H152" s="28" t="n">
        <v>6</v>
      </c>
      <c r="I152" s="29" t="n">
        <v>620</v>
      </c>
      <c r="J152" s="29" t="n">
        <v>3720</v>
      </c>
      <c r="K152" s="29" t="n">
        <f aca="false">H152*I152</f>
        <v>3720</v>
      </c>
      <c r="L152" s="29" t="n">
        <f aca="false">IFERROR(INDEX(Cat_Productos!$B$2:$B$6,MATCH(G152,Cat_Productos!$A$2:$A$6,0)),"")</f>
        <v>290</v>
      </c>
      <c r="M152" s="29" t="n">
        <f aca="false">IF(L152="","",H152*L152)</f>
        <v>1740</v>
      </c>
      <c r="N152" s="29" t="n">
        <f aca="false">IF(M152="","",J152-M152)</f>
        <v>1980</v>
      </c>
      <c r="O152" s="30" t="n">
        <f aca="false">IFERROR(N152/J152,0)</f>
        <v>0.532258064516129</v>
      </c>
      <c r="P152" s="27"/>
      <c r="Q152" s="27" t="s">
        <v>148</v>
      </c>
      <c r="R152" s="27" t="s">
        <v>149</v>
      </c>
      <c r="S152" s="27" t="n">
        <v>145</v>
      </c>
      <c r="T152" s="27"/>
    </row>
    <row r="153" customFormat="false" ht="15" hidden="false" customHeight="false" outlineLevel="0" collapsed="false">
      <c r="A153" s="26" t="n">
        <v>46045</v>
      </c>
      <c r="B153" s="27" t="n">
        <v>2026</v>
      </c>
      <c r="C153" s="27" t="n">
        <v>1</v>
      </c>
      <c r="D153" s="27" t="s">
        <v>80</v>
      </c>
      <c r="E153" s="27" t="s">
        <v>92</v>
      </c>
      <c r="F153" s="27" t="s">
        <v>105</v>
      </c>
      <c r="G153" s="27" t="s">
        <v>116</v>
      </c>
      <c r="H153" s="28" t="n">
        <v>4</v>
      </c>
      <c r="I153" s="29" t="n">
        <v>620</v>
      </c>
      <c r="J153" s="29" t="n">
        <v>2480</v>
      </c>
      <c r="K153" s="29" t="n">
        <f aca="false">H153*I153</f>
        <v>2480</v>
      </c>
      <c r="L153" s="29" t="n">
        <f aca="false">IFERROR(INDEX(Cat_Productos!$B$2:$B$6,MATCH(G153,Cat_Productos!$A$2:$A$6,0)),"")</f>
        <v>290</v>
      </c>
      <c r="M153" s="29" t="n">
        <f aca="false">IF(L153="","",H153*L153)</f>
        <v>1160</v>
      </c>
      <c r="N153" s="29" t="n">
        <f aca="false">IF(M153="","",J153-M153)</f>
        <v>1320</v>
      </c>
      <c r="O153" s="30" t="n">
        <f aca="false">IFERROR(N153/J153,0)</f>
        <v>0.532258064516129</v>
      </c>
      <c r="P153" s="27"/>
      <c r="Q153" s="27" t="s">
        <v>148</v>
      </c>
      <c r="R153" s="27" t="s">
        <v>149</v>
      </c>
      <c r="S153" s="27" t="n">
        <v>43</v>
      </c>
      <c r="T153" s="27"/>
    </row>
    <row r="154" customFormat="false" ht="15" hidden="false" customHeight="false" outlineLevel="0" collapsed="false">
      <c r="A154" s="26" t="n">
        <v>46045</v>
      </c>
      <c r="B154" s="27" t="n">
        <v>2026</v>
      </c>
      <c r="C154" s="27" t="n">
        <v>1</v>
      </c>
      <c r="D154" s="27" t="s">
        <v>80</v>
      </c>
      <c r="E154" s="27" t="s">
        <v>92</v>
      </c>
      <c r="F154" s="27" t="s">
        <v>105</v>
      </c>
      <c r="G154" s="27" t="s">
        <v>116</v>
      </c>
      <c r="H154" s="28" t="n">
        <v>4</v>
      </c>
      <c r="I154" s="29" t="n">
        <v>620</v>
      </c>
      <c r="J154" s="29" t="n">
        <v>2480</v>
      </c>
      <c r="K154" s="29" t="n">
        <f aca="false">H154*I154</f>
        <v>2480</v>
      </c>
      <c r="L154" s="29" t="n">
        <f aca="false">IFERROR(INDEX(Cat_Productos!$B$2:$B$6,MATCH(G154,Cat_Productos!$A$2:$A$6,0)),"")</f>
        <v>290</v>
      </c>
      <c r="M154" s="29" t="n">
        <f aca="false">IF(L154="","",H154*L154)</f>
        <v>1160</v>
      </c>
      <c r="N154" s="29" t="n">
        <f aca="false">IF(M154="","",J154-M154)</f>
        <v>1320</v>
      </c>
      <c r="O154" s="30" t="n">
        <f aca="false">IFERROR(N154/J154,0)</f>
        <v>0.532258064516129</v>
      </c>
      <c r="P154" s="27"/>
      <c r="Q154" s="27" t="s">
        <v>148</v>
      </c>
      <c r="R154" s="27" t="s">
        <v>149</v>
      </c>
      <c r="S154" s="27" t="n">
        <v>45</v>
      </c>
      <c r="T154" s="27"/>
    </row>
    <row r="155" customFormat="false" ht="15" hidden="false" customHeight="false" outlineLevel="0" collapsed="false">
      <c r="A155" s="26" t="n">
        <v>46045</v>
      </c>
      <c r="B155" s="27" t="n">
        <v>2026</v>
      </c>
      <c r="C155" s="27" t="n">
        <v>1</v>
      </c>
      <c r="D155" s="27" t="s">
        <v>80</v>
      </c>
      <c r="E155" s="27" t="s">
        <v>91</v>
      </c>
      <c r="F155" s="27" t="s">
        <v>103</v>
      </c>
      <c r="G155" s="27" t="s">
        <v>116</v>
      </c>
      <c r="H155" s="28" t="n">
        <v>6</v>
      </c>
      <c r="I155" s="29" t="n">
        <v>620</v>
      </c>
      <c r="J155" s="29" t="n">
        <v>3720</v>
      </c>
      <c r="K155" s="29" t="n">
        <f aca="false">H155*I155</f>
        <v>3720</v>
      </c>
      <c r="L155" s="29" t="n">
        <f aca="false">IFERROR(INDEX(Cat_Productos!$B$2:$B$6,MATCH(G155,Cat_Productos!$A$2:$A$6,0)),"")</f>
        <v>290</v>
      </c>
      <c r="M155" s="29" t="n">
        <f aca="false">IF(L155="","",H155*L155)</f>
        <v>1740</v>
      </c>
      <c r="N155" s="29" t="n">
        <f aca="false">IF(M155="","",J155-M155)</f>
        <v>1980</v>
      </c>
      <c r="O155" s="30" t="n">
        <f aca="false">IFERROR(N155/J155,0)</f>
        <v>0.532258064516129</v>
      </c>
      <c r="P155" s="27"/>
      <c r="Q155" s="27" t="s">
        <v>148</v>
      </c>
      <c r="R155" s="27" t="s">
        <v>149</v>
      </c>
      <c r="S155" s="27" t="n">
        <v>147</v>
      </c>
      <c r="T155" s="27"/>
    </row>
    <row r="156" customFormat="false" ht="15" hidden="false" customHeight="false" outlineLevel="0" collapsed="false">
      <c r="A156" s="26" t="n">
        <v>46045</v>
      </c>
      <c r="B156" s="27" t="n">
        <v>2026</v>
      </c>
      <c r="C156" s="27" t="n">
        <v>1</v>
      </c>
      <c r="D156" s="27" t="s">
        <v>80</v>
      </c>
      <c r="E156" s="27" t="s">
        <v>91</v>
      </c>
      <c r="F156" s="27" t="s">
        <v>107</v>
      </c>
      <c r="G156" s="27" t="s">
        <v>117</v>
      </c>
      <c r="H156" s="28" t="n">
        <v>4</v>
      </c>
      <c r="I156" s="29" t="n">
        <v>1450</v>
      </c>
      <c r="J156" s="29" t="n">
        <v>5800</v>
      </c>
      <c r="K156" s="29" t="n">
        <f aca="false">H156*I156</f>
        <v>5800</v>
      </c>
      <c r="L156" s="29" t="n">
        <f aca="false">IFERROR(INDEX(Cat_Productos!$B$2:$B$6,MATCH(G156,Cat_Productos!$A$2:$A$6,0)),"")</f>
        <v>780</v>
      </c>
      <c r="M156" s="29" t="n">
        <f aca="false">IF(L156="","",H156*L156)</f>
        <v>3120</v>
      </c>
      <c r="N156" s="29" t="n">
        <f aca="false">IF(M156="","",J156-M156)</f>
        <v>2680</v>
      </c>
      <c r="O156" s="30" t="n">
        <f aca="false">IFERROR(N156/J156,0)</f>
        <v>0.462068965517241</v>
      </c>
      <c r="P156" s="27"/>
      <c r="Q156" s="27" t="s">
        <v>148</v>
      </c>
      <c r="R156" s="27" t="s">
        <v>149</v>
      </c>
      <c r="S156" s="27" t="n">
        <v>83</v>
      </c>
      <c r="T156" s="27"/>
    </row>
    <row r="157" customFormat="false" ht="15" hidden="false" customHeight="false" outlineLevel="0" collapsed="false">
      <c r="A157" s="26" t="n">
        <v>46045</v>
      </c>
      <c r="B157" s="27" t="n">
        <v>2026</v>
      </c>
      <c r="C157" s="27" t="n">
        <v>1</v>
      </c>
      <c r="D157" s="27" t="s">
        <v>80</v>
      </c>
      <c r="E157" s="27" t="s">
        <v>92</v>
      </c>
      <c r="F157" s="27" t="s">
        <v>105</v>
      </c>
      <c r="G157" s="27" t="s">
        <v>116</v>
      </c>
      <c r="H157" s="28" t="n">
        <v>6</v>
      </c>
      <c r="I157" s="29" t="n">
        <v>620</v>
      </c>
      <c r="J157" s="29" t="n">
        <v>3720</v>
      </c>
      <c r="K157" s="29" t="n">
        <f aca="false">H157*I157</f>
        <v>3720</v>
      </c>
      <c r="L157" s="29" t="n">
        <f aca="false">IFERROR(INDEX(Cat_Productos!$B$2:$B$6,MATCH(G157,Cat_Productos!$A$2:$A$6,0)),"")</f>
        <v>290</v>
      </c>
      <c r="M157" s="29" t="n">
        <f aca="false">IF(L157="","",H157*L157)</f>
        <v>1740</v>
      </c>
      <c r="N157" s="29" t="n">
        <f aca="false">IF(M157="","",J157-M157)</f>
        <v>1980</v>
      </c>
      <c r="O157" s="30" t="n">
        <f aca="false">IFERROR(N157/J157,0)</f>
        <v>0.532258064516129</v>
      </c>
      <c r="P157" s="27"/>
      <c r="Q157" s="27" t="s">
        <v>148</v>
      </c>
      <c r="R157" s="27" t="s">
        <v>149</v>
      </c>
      <c r="S157" s="27" t="n">
        <v>35</v>
      </c>
      <c r="T157" s="27"/>
    </row>
    <row r="158" customFormat="false" ht="15" hidden="false" customHeight="false" outlineLevel="0" collapsed="false">
      <c r="A158" s="26" t="n">
        <v>46045</v>
      </c>
      <c r="B158" s="27" t="n">
        <v>2026</v>
      </c>
      <c r="C158" s="27" t="n">
        <v>1</v>
      </c>
      <c r="D158" s="27" t="s">
        <v>80</v>
      </c>
      <c r="E158" s="27" t="s">
        <v>91</v>
      </c>
      <c r="F158" s="27" t="s">
        <v>103</v>
      </c>
      <c r="G158" s="27" t="s">
        <v>114</v>
      </c>
      <c r="H158" s="28" t="n">
        <v>6</v>
      </c>
      <c r="I158" s="29" t="n">
        <v>23900</v>
      </c>
      <c r="J158" s="29" t="n">
        <v>143400</v>
      </c>
      <c r="K158" s="29" t="n">
        <f aca="false">H158*I158</f>
        <v>143400</v>
      </c>
      <c r="L158" s="29" t="n">
        <f aca="false">IFERROR(INDEX(Cat_Productos!$B$2:$B$6,MATCH(G158,Cat_Productos!$A$2:$A$6,0)),"")</f>
        <v>19200</v>
      </c>
      <c r="M158" s="29" t="n">
        <f aca="false">IF(L158="","",H158*L158)</f>
        <v>115200</v>
      </c>
      <c r="N158" s="29" t="n">
        <f aca="false">IF(M158="","",J158-M158)</f>
        <v>28200</v>
      </c>
      <c r="O158" s="30" t="n">
        <f aca="false">IFERROR(N158/J158,0)</f>
        <v>0.196652719665272</v>
      </c>
      <c r="P158" s="27"/>
      <c r="Q158" s="27" t="s">
        <v>148</v>
      </c>
      <c r="R158" s="27" t="s">
        <v>149</v>
      </c>
      <c r="S158" s="27" t="n">
        <v>111</v>
      </c>
      <c r="T158" s="27"/>
    </row>
    <row r="159" customFormat="false" ht="15" hidden="false" customHeight="false" outlineLevel="0" collapsed="false">
      <c r="A159" s="26" t="n">
        <v>46045</v>
      </c>
      <c r="B159" s="27" t="n">
        <v>2026</v>
      </c>
      <c r="C159" s="27" t="n">
        <v>1</v>
      </c>
      <c r="D159" s="27" t="s">
        <v>80</v>
      </c>
      <c r="E159" s="27" t="s">
        <v>92</v>
      </c>
      <c r="F159" s="27" t="s">
        <v>105</v>
      </c>
      <c r="G159" s="27" t="s">
        <v>116</v>
      </c>
      <c r="H159" s="28" t="n">
        <v>2</v>
      </c>
      <c r="I159" s="29" t="n">
        <v>620</v>
      </c>
      <c r="J159" s="29" t="n">
        <v>1240</v>
      </c>
      <c r="K159" s="29" t="n">
        <f aca="false">H159*I159</f>
        <v>1240</v>
      </c>
      <c r="L159" s="29" t="n">
        <f aca="false">IFERROR(INDEX(Cat_Productos!$B$2:$B$6,MATCH(G159,Cat_Productos!$A$2:$A$6,0)),"")</f>
        <v>290</v>
      </c>
      <c r="M159" s="29" t="n">
        <f aca="false">IF(L159="","",H159*L159)</f>
        <v>580</v>
      </c>
      <c r="N159" s="29" t="n">
        <f aca="false">IF(M159="","",J159-M159)</f>
        <v>660</v>
      </c>
      <c r="O159" s="30" t="n">
        <f aca="false">IFERROR(N159/J159,0)</f>
        <v>0.532258064516129</v>
      </c>
      <c r="P159" s="27"/>
      <c r="Q159" s="27" t="s">
        <v>148</v>
      </c>
      <c r="R159" s="27" t="s">
        <v>149</v>
      </c>
      <c r="S159" s="27" t="n">
        <v>41</v>
      </c>
      <c r="T159" s="27"/>
    </row>
    <row r="160" customFormat="false" ht="15" hidden="false" customHeight="false" outlineLevel="0" collapsed="false">
      <c r="A160" s="31" t="n">
        <v>46045</v>
      </c>
      <c r="B160" s="32" t="n">
        <v>2026</v>
      </c>
      <c r="C160" s="32" t="n">
        <v>1</v>
      </c>
      <c r="D160" s="32" t="s">
        <v>80</v>
      </c>
      <c r="E160" s="32" t="s">
        <v>92</v>
      </c>
      <c r="F160" s="32" t="s">
        <v>105</v>
      </c>
      <c r="G160" s="32" t="s">
        <v>117</v>
      </c>
      <c r="H160" s="33" t="n">
        <v>4</v>
      </c>
      <c r="I160" s="34" t="n">
        <v>1450</v>
      </c>
      <c r="J160" s="34" t="n">
        <v>4620</v>
      </c>
      <c r="K160" s="34" t="n">
        <f aca="false">H160*I160</f>
        <v>5800</v>
      </c>
      <c r="L160" s="34" t="n">
        <f aca="false">IFERROR(INDEX(Cat_Productos!$B$2:$B$6,MATCH(G160,Cat_Productos!$A$2:$A$6,0)),"")</f>
        <v>780</v>
      </c>
      <c r="M160" s="34" t="n">
        <f aca="false">IF(L160="","",H160*L160)</f>
        <v>3120</v>
      </c>
      <c r="N160" s="34" t="n">
        <f aca="false">IF(M160="","",J160-M160)</f>
        <v>1500</v>
      </c>
      <c r="O160" s="35" t="n">
        <f aca="false">IFERROR(N160/J160,0)</f>
        <v>0.324675324675325</v>
      </c>
      <c r="P160" s="32"/>
      <c r="Q160" s="32" t="s">
        <v>148</v>
      </c>
      <c r="R160" s="32" t="s">
        <v>149</v>
      </c>
      <c r="S160" s="32" t="n">
        <v>9</v>
      </c>
      <c r="T160" s="32" t="s">
        <v>150</v>
      </c>
    </row>
    <row r="161" customFormat="false" ht="15" hidden="false" customHeight="false" outlineLevel="0" collapsed="false">
      <c r="A161" s="26" t="n">
        <v>46047</v>
      </c>
      <c r="B161" s="27" t="n">
        <v>2026</v>
      </c>
      <c r="C161" s="27" t="n">
        <v>1</v>
      </c>
      <c r="D161" s="27" t="s">
        <v>80</v>
      </c>
      <c r="E161" s="27" t="s">
        <v>91</v>
      </c>
      <c r="F161" s="27" t="s">
        <v>103</v>
      </c>
      <c r="G161" s="27" t="s">
        <v>116</v>
      </c>
      <c r="H161" s="28" t="n">
        <v>6</v>
      </c>
      <c r="I161" s="29" t="n">
        <v>620</v>
      </c>
      <c r="J161" s="29" t="n">
        <v>3720</v>
      </c>
      <c r="K161" s="29" t="n">
        <f aca="false">H161*I161</f>
        <v>3720</v>
      </c>
      <c r="L161" s="29" t="n">
        <f aca="false">IFERROR(INDEX(Cat_Productos!$B$2:$B$6,MATCH(G161,Cat_Productos!$A$2:$A$6,0)),"")</f>
        <v>290</v>
      </c>
      <c r="M161" s="29" t="n">
        <f aca="false">IF(L161="","",H161*L161)</f>
        <v>1740</v>
      </c>
      <c r="N161" s="29" t="n">
        <f aca="false">IF(M161="","",J161-M161)</f>
        <v>1980</v>
      </c>
      <c r="O161" s="30" t="n">
        <f aca="false">IFERROR(N161/J161,0)</f>
        <v>0.532258064516129</v>
      </c>
      <c r="P161" s="27"/>
      <c r="Q161" s="27" t="s">
        <v>148</v>
      </c>
      <c r="R161" s="27" t="s">
        <v>149</v>
      </c>
      <c r="S161" s="27" t="n">
        <v>160</v>
      </c>
      <c r="T161" s="27"/>
    </row>
    <row r="162" customFormat="false" ht="15" hidden="false" customHeight="false" outlineLevel="0" collapsed="false">
      <c r="A162" s="26" t="n">
        <v>46047</v>
      </c>
      <c r="B162" s="27" t="n">
        <v>2026</v>
      </c>
      <c r="C162" s="27" t="n">
        <v>1</v>
      </c>
      <c r="D162" s="27" t="s">
        <v>80</v>
      </c>
      <c r="E162" s="27" t="s">
        <v>91</v>
      </c>
      <c r="F162" s="27" t="s">
        <v>107</v>
      </c>
      <c r="G162" s="27" t="s">
        <v>116</v>
      </c>
      <c r="H162" s="28" t="n">
        <v>4</v>
      </c>
      <c r="I162" s="29" t="n">
        <v>620</v>
      </c>
      <c r="J162" s="29" t="n">
        <v>2480</v>
      </c>
      <c r="K162" s="29" t="n">
        <f aca="false">H162*I162</f>
        <v>2480</v>
      </c>
      <c r="L162" s="29" t="n">
        <f aca="false">IFERROR(INDEX(Cat_Productos!$B$2:$B$6,MATCH(G162,Cat_Productos!$A$2:$A$6,0)),"")</f>
        <v>290</v>
      </c>
      <c r="M162" s="29" t="n">
        <f aca="false">IF(L162="","",H162*L162)</f>
        <v>1160</v>
      </c>
      <c r="N162" s="29" t="n">
        <f aca="false">IF(M162="","",J162-M162)</f>
        <v>1320</v>
      </c>
      <c r="O162" s="30" t="n">
        <f aca="false">IFERROR(N162/J162,0)</f>
        <v>0.532258064516129</v>
      </c>
      <c r="P162" s="27"/>
      <c r="Q162" s="27" t="s">
        <v>148</v>
      </c>
      <c r="R162" s="27" t="s">
        <v>149</v>
      </c>
      <c r="S162" s="27" t="n">
        <v>100</v>
      </c>
      <c r="T162" s="27"/>
    </row>
    <row r="163" customFormat="false" ht="15" hidden="false" customHeight="false" outlineLevel="0" collapsed="false">
      <c r="A163" s="26" t="n">
        <v>46047</v>
      </c>
      <c r="B163" s="27" t="n">
        <v>2026</v>
      </c>
      <c r="C163" s="27" t="n">
        <v>1</v>
      </c>
      <c r="D163" s="27" t="s">
        <v>80</v>
      </c>
      <c r="E163" s="27" t="s">
        <v>92</v>
      </c>
      <c r="F163" s="27" t="s">
        <v>105</v>
      </c>
      <c r="G163" s="27" t="s">
        <v>116</v>
      </c>
      <c r="H163" s="28" t="n">
        <v>6</v>
      </c>
      <c r="I163" s="29" t="n">
        <v>620</v>
      </c>
      <c r="J163" s="29" t="n">
        <v>3720</v>
      </c>
      <c r="K163" s="29" t="n">
        <f aca="false">H163*I163</f>
        <v>3720</v>
      </c>
      <c r="L163" s="29" t="n">
        <f aca="false">IFERROR(INDEX(Cat_Productos!$B$2:$B$6,MATCH(G163,Cat_Productos!$A$2:$A$6,0)),"")</f>
        <v>290</v>
      </c>
      <c r="M163" s="29" t="n">
        <f aca="false">IF(L163="","",H163*L163)</f>
        <v>1740</v>
      </c>
      <c r="N163" s="29" t="n">
        <f aca="false">IF(M163="","",J163-M163)</f>
        <v>1980</v>
      </c>
      <c r="O163" s="30" t="n">
        <f aca="false">IFERROR(N163/J163,0)</f>
        <v>0.532258064516129</v>
      </c>
      <c r="P163" s="27"/>
      <c r="Q163" s="27" t="s">
        <v>148</v>
      </c>
      <c r="R163" s="27" t="s">
        <v>149</v>
      </c>
      <c r="S163" s="27" t="n">
        <v>42</v>
      </c>
      <c r="T163" s="27"/>
    </row>
    <row r="164" customFormat="false" ht="15" hidden="false" customHeight="false" outlineLevel="0" collapsed="false">
      <c r="A164" s="26" t="n">
        <v>46047</v>
      </c>
      <c r="B164" s="27" t="n">
        <v>2026</v>
      </c>
      <c r="C164" s="27" t="n">
        <v>1</v>
      </c>
      <c r="D164" s="27" t="s">
        <v>80</v>
      </c>
      <c r="E164" s="27" t="s">
        <v>91</v>
      </c>
      <c r="F164" s="27" t="s">
        <v>107</v>
      </c>
      <c r="G164" s="27" t="s">
        <v>117</v>
      </c>
      <c r="H164" s="28" t="n">
        <v>2</v>
      </c>
      <c r="I164" s="29" t="n">
        <v>1450</v>
      </c>
      <c r="J164" s="29" t="n">
        <v>2900</v>
      </c>
      <c r="K164" s="29" t="n">
        <f aca="false">H164*I164</f>
        <v>2900</v>
      </c>
      <c r="L164" s="29" t="n">
        <f aca="false">IFERROR(INDEX(Cat_Productos!$B$2:$B$6,MATCH(G164,Cat_Productos!$A$2:$A$6,0)),"")</f>
        <v>780</v>
      </c>
      <c r="M164" s="29" t="n">
        <f aca="false">IF(L164="","",H164*L164)</f>
        <v>1560</v>
      </c>
      <c r="N164" s="29" t="n">
        <f aca="false">IF(M164="","",J164-M164)</f>
        <v>1340</v>
      </c>
      <c r="O164" s="30" t="n">
        <f aca="false">IFERROR(N164/J164,0)</f>
        <v>0.462068965517241</v>
      </c>
      <c r="P164" s="27"/>
      <c r="Q164" s="27" t="s">
        <v>148</v>
      </c>
      <c r="R164" s="27" t="s">
        <v>149</v>
      </c>
      <c r="S164" s="27" t="n">
        <v>94</v>
      </c>
      <c r="T164" s="27"/>
    </row>
    <row r="165" customFormat="false" ht="15" hidden="false" customHeight="false" outlineLevel="0" collapsed="false">
      <c r="A165" s="26" t="n">
        <v>46047</v>
      </c>
      <c r="B165" s="27" t="n">
        <v>2026</v>
      </c>
      <c r="C165" s="27" t="n">
        <v>1</v>
      </c>
      <c r="D165" s="27" t="s">
        <v>80</v>
      </c>
      <c r="E165" s="27" t="s">
        <v>91</v>
      </c>
      <c r="F165" s="27" t="s">
        <v>107</v>
      </c>
      <c r="G165" s="27" t="s">
        <v>117</v>
      </c>
      <c r="H165" s="28" t="n">
        <v>6</v>
      </c>
      <c r="I165" s="29" t="n">
        <v>1450</v>
      </c>
      <c r="J165" s="29" t="n">
        <v>8700</v>
      </c>
      <c r="K165" s="29" t="n">
        <f aca="false">H165*I165</f>
        <v>8700</v>
      </c>
      <c r="L165" s="29" t="n">
        <f aca="false">IFERROR(INDEX(Cat_Productos!$B$2:$B$6,MATCH(G165,Cat_Productos!$A$2:$A$6,0)),"")</f>
        <v>780</v>
      </c>
      <c r="M165" s="29" t="n">
        <f aca="false">IF(L165="","",H165*L165)</f>
        <v>4680</v>
      </c>
      <c r="N165" s="29" t="n">
        <f aca="false">IF(M165="","",J165-M165)</f>
        <v>4020</v>
      </c>
      <c r="O165" s="30" t="n">
        <f aca="false">IFERROR(N165/J165,0)</f>
        <v>0.462068965517241</v>
      </c>
      <c r="P165" s="27"/>
      <c r="Q165" s="27" t="s">
        <v>148</v>
      </c>
      <c r="R165" s="27" t="s">
        <v>149</v>
      </c>
      <c r="S165" s="27" t="n">
        <v>92</v>
      </c>
      <c r="T165" s="27"/>
    </row>
    <row r="166" customFormat="false" ht="15" hidden="false" customHeight="false" outlineLevel="0" collapsed="false">
      <c r="A166" s="26" t="n">
        <v>46047</v>
      </c>
      <c r="B166" s="27" t="n">
        <v>2026</v>
      </c>
      <c r="C166" s="27" t="n">
        <v>1</v>
      </c>
      <c r="D166" s="27" t="s">
        <v>80</v>
      </c>
      <c r="E166" s="27" t="s">
        <v>91</v>
      </c>
      <c r="F166" s="27" t="s">
        <v>107</v>
      </c>
      <c r="G166" s="27" t="s">
        <v>117</v>
      </c>
      <c r="H166" s="28" t="n">
        <v>6</v>
      </c>
      <c r="I166" s="29" t="n">
        <v>1450</v>
      </c>
      <c r="J166" s="29" t="n">
        <v>8700</v>
      </c>
      <c r="K166" s="29" t="n">
        <f aca="false">H166*I166</f>
        <v>8700</v>
      </c>
      <c r="L166" s="29" t="n">
        <f aca="false">IFERROR(INDEX(Cat_Productos!$B$2:$B$6,MATCH(G166,Cat_Productos!$A$2:$A$6,0)),"")</f>
        <v>780</v>
      </c>
      <c r="M166" s="29" t="n">
        <f aca="false">IF(L166="","",H166*L166)</f>
        <v>4680</v>
      </c>
      <c r="N166" s="29" t="n">
        <f aca="false">IF(M166="","",J166-M166)</f>
        <v>4020</v>
      </c>
      <c r="O166" s="30" t="n">
        <f aca="false">IFERROR(N166/J166,0)</f>
        <v>0.462068965517241</v>
      </c>
      <c r="P166" s="27"/>
      <c r="Q166" s="27" t="s">
        <v>148</v>
      </c>
      <c r="R166" s="27" t="s">
        <v>149</v>
      </c>
      <c r="S166" s="27" t="n">
        <v>86</v>
      </c>
      <c r="T166" s="27"/>
    </row>
    <row r="167" customFormat="false" ht="15" hidden="false" customHeight="false" outlineLevel="0" collapsed="false">
      <c r="A167" s="26" t="n">
        <v>46047</v>
      </c>
      <c r="B167" s="27" t="n">
        <v>2026</v>
      </c>
      <c r="C167" s="27" t="n">
        <v>1</v>
      </c>
      <c r="D167" s="27" t="s">
        <v>80</v>
      </c>
      <c r="E167" s="27" t="s">
        <v>92</v>
      </c>
      <c r="F167" s="27" t="s">
        <v>105</v>
      </c>
      <c r="G167" s="27" t="s">
        <v>117</v>
      </c>
      <c r="H167" s="28" t="n">
        <v>2</v>
      </c>
      <c r="I167" s="29" t="n">
        <v>1450</v>
      </c>
      <c r="J167" s="29" t="n">
        <v>2900</v>
      </c>
      <c r="K167" s="29" t="n">
        <f aca="false">H167*I167</f>
        <v>2900</v>
      </c>
      <c r="L167" s="29" t="n">
        <f aca="false">IFERROR(INDEX(Cat_Productos!$B$2:$B$6,MATCH(G167,Cat_Productos!$A$2:$A$6,0)),"")</f>
        <v>780</v>
      </c>
      <c r="M167" s="29" t="n">
        <f aca="false">IF(L167="","",H167*L167)</f>
        <v>1560</v>
      </c>
      <c r="N167" s="29" t="n">
        <f aca="false">IF(M167="","",J167-M167)</f>
        <v>1340</v>
      </c>
      <c r="O167" s="30" t="n">
        <f aca="false">IFERROR(N167/J167,0)</f>
        <v>0.462068965517241</v>
      </c>
      <c r="P167" s="27"/>
      <c r="Q167" s="27" t="s">
        <v>148</v>
      </c>
      <c r="R167" s="27" t="s">
        <v>149</v>
      </c>
      <c r="S167" s="27" t="n">
        <v>10</v>
      </c>
      <c r="T167" s="27"/>
    </row>
    <row r="168" customFormat="false" ht="15" hidden="false" customHeight="false" outlineLevel="0" collapsed="false">
      <c r="A168" s="26" t="n">
        <v>46047</v>
      </c>
      <c r="B168" s="27" t="n">
        <v>2026</v>
      </c>
      <c r="C168" s="27" t="n">
        <v>1</v>
      </c>
      <c r="D168" s="27" t="s">
        <v>80</v>
      </c>
      <c r="E168" s="27" t="s">
        <v>91</v>
      </c>
      <c r="F168" s="27" t="s">
        <v>107</v>
      </c>
      <c r="G168" s="27" t="s">
        <v>117</v>
      </c>
      <c r="H168" s="28" t="n">
        <v>2</v>
      </c>
      <c r="I168" s="29" t="n">
        <v>1450</v>
      </c>
      <c r="J168" s="29" t="n">
        <v>2900</v>
      </c>
      <c r="K168" s="29" t="n">
        <f aca="false">H168*I168</f>
        <v>2900</v>
      </c>
      <c r="L168" s="29" t="n">
        <f aca="false">IFERROR(INDEX(Cat_Productos!$B$2:$B$6,MATCH(G168,Cat_Productos!$A$2:$A$6,0)),"")</f>
        <v>780</v>
      </c>
      <c r="M168" s="29" t="n">
        <f aca="false">IF(L168="","",H168*L168)</f>
        <v>1560</v>
      </c>
      <c r="N168" s="29" t="n">
        <f aca="false">IF(M168="","",J168-M168)</f>
        <v>1340</v>
      </c>
      <c r="O168" s="30" t="n">
        <f aca="false">IFERROR(N168/J168,0)</f>
        <v>0.462068965517241</v>
      </c>
      <c r="P168" s="27"/>
      <c r="Q168" s="27" t="s">
        <v>148</v>
      </c>
      <c r="R168" s="27" t="s">
        <v>149</v>
      </c>
      <c r="S168" s="27" t="n">
        <v>82</v>
      </c>
      <c r="T168" s="27"/>
    </row>
    <row r="169" customFormat="false" ht="15" hidden="false" customHeight="false" outlineLevel="0" collapsed="false">
      <c r="A169" s="26" t="n">
        <v>46047</v>
      </c>
      <c r="B169" s="27" t="n">
        <v>2026</v>
      </c>
      <c r="C169" s="27" t="n">
        <v>1</v>
      </c>
      <c r="D169" s="27" t="s">
        <v>80</v>
      </c>
      <c r="E169" s="27" t="s">
        <v>91</v>
      </c>
      <c r="F169" s="27" t="s">
        <v>107</v>
      </c>
      <c r="G169" s="27" t="s">
        <v>114</v>
      </c>
      <c r="H169" s="28" t="n">
        <v>6</v>
      </c>
      <c r="I169" s="29" t="n">
        <v>23900</v>
      </c>
      <c r="J169" s="29" t="n">
        <v>143400</v>
      </c>
      <c r="K169" s="29" t="n">
        <f aca="false">H169*I169</f>
        <v>143400</v>
      </c>
      <c r="L169" s="29" t="n">
        <f aca="false">IFERROR(INDEX(Cat_Productos!$B$2:$B$6,MATCH(G169,Cat_Productos!$A$2:$A$6,0)),"")</f>
        <v>19200</v>
      </c>
      <c r="M169" s="29" t="n">
        <f aca="false">IF(L169="","",H169*L169)</f>
        <v>115200</v>
      </c>
      <c r="N169" s="29" t="n">
        <f aca="false">IF(M169="","",J169-M169)</f>
        <v>28200</v>
      </c>
      <c r="O169" s="30" t="n">
        <f aca="false">IFERROR(N169/J169,0)</f>
        <v>0.196652719665272</v>
      </c>
      <c r="P169" s="27"/>
      <c r="Q169" s="27" t="s">
        <v>148</v>
      </c>
      <c r="R169" s="27" t="s">
        <v>149</v>
      </c>
      <c r="S169" s="27" t="n">
        <v>76</v>
      </c>
      <c r="T169" s="27"/>
    </row>
    <row r="170" customFormat="false" ht="15" hidden="false" customHeight="false" outlineLevel="0" collapsed="false">
      <c r="A170" s="26" t="n">
        <v>46047</v>
      </c>
      <c r="B170" s="27" t="n">
        <v>2026</v>
      </c>
      <c r="C170" s="27" t="n">
        <v>1</v>
      </c>
      <c r="D170" s="27" t="s">
        <v>80</v>
      </c>
      <c r="E170" s="27" t="s">
        <v>91</v>
      </c>
      <c r="F170" s="27" t="s">
        <v>103</v>
      </c>
      <c r="G170" s="27" t="s">
        <v>117</v>
      </c>
      <c r="H170" s="28" t="n">
        <v>2</v>
      </c>
      <c r="I170" s="29" t="n">
        <v>1450</v>
      </c>
      <c r="J170" s="29" t="n">
        <v>2900</v>
      </c>
      <c r="K170" s="29" t="n">
        <f aca="false">H170*I170</f>
        <v>2900</v>
      </c>
      <c r="L170" s="29" t="n">
        <f aca="false">IFERROR(INDEX(Cat_Productos!$B$2:$B$6,MATCH(G170,Cat_Productos!$A$2:$A$6,0)),"")</f>
        <v>780</v>
      </c>
      <c r="M170" s="29" t="n">
        <f aca="false">IF(L170="","",H170*L170)</f>
        <v>1560</v>
      </c>
      <c r="N170" s="29" t="n">
        <f aca="false">IF(M170="","",J170-M170)</f>
        <v>1340</v>
      </c>
      <c r="O170" s="30" t="n">
        <f aca="false">IFERROR(N170/J170,0)</f>
        <v>0.462068965517241</v>
      </c>
      <c r="P170" s="27"/>
      <c r="Q170" s="27" t="s">
        <v>148</v>
      </c>
      <c r="R170" s="27" t="s">
        <v>149</v>
      </c>
      <c r="S170" s="27" t="n">
        <v>124</v>
      </c>
      <c r="T170" s="27"/>
    </row>
    <row r="171" customFormat="false" ht="15" hidden="false" customHeight="false" outlineLevel="0" collapsed="false">
      <c r="A171" s="26" t="n">
        <v>46047</v>
      </c>
      <c r="B171" s="27" t="n">
        <v>2026</v>
      </c>
      <c r="C171" s="27" t="n">
        <v>1</v>
      </c>
      <c r="D171" s="27" t="s">
        <v>80</v>
      </c>
      <c r="E171" s="27" t="s">
        <v>91</v>
      </c>
      <c r="F171" s="27" t="s">
        <v>103</v>
      </c>
      <c r="G171" s="27" t="s">
        <v>116</v>
      </c>
      <c r="H171" s="28" t="n">
        <v>4</v>
      </c>
      <c r="I171" s="29" t="n">
        <v>620</v>
      </c>
      <c r="J171" s="29" t="n">
        <v>2480</v>
      </c>
      <c r="K171" s="29" t="n">
        <f aca="false">H171*I171</f>
        <v>2480</v>
      </c>
      <c r="L171" s="29" t="n">
        <f aca="false">IFERROR(INDEX(Cat_Productos!$B$2:$B$6,MATCH(G171,Cat_Productos!$A$2:$A$6,0)),"")</f>
        <v>290</v>
      </c>
      <c r="M171" s="29" t="n">
        <f aca="false">IF(L171="","",H171*L171)</f>
        <v>1160</v>
      </c>
      <c r="N171" s="29" t="n">
        <f aca="false">IF(M171="","",J171-M171)</f>
        <v>1320</v>
      </c>
      <c r="O171" s="30" t="n">
        <f aca="false">IFERROR(N171/J171,0)</f>
        <v>0.532258064516129</v>
      </c>
      <c r="P171" s="27"/>
      <c r="Q171" s="27" t="s">
        <v>148</v>
      </c>
      <c r="R171" s="27" t="s">
        <v>149</v>
      </c>
      <c r="S171" s="27" t="n">
        <v>144</v>
      </c>
      <c r="T171" s="27"/>
    </row>
    <row r="172" customFormat="false" ht="15" hidden="false" customHeight="false" outlineLevel="0" collapsed="false">
      <c r="A172" s="26" t="n">
        <v>46047</v>
      </c>
      <c r="B172" s="27" t="n">
        <v>2026</v>
      </c>
      <c r="C172" s="27" t="n">
        <v>1</v>
      </c>
      <c r="D172" s="27" t="s">
        <v>80</v>
      </c>
      <c r="E172" s="27" t="s">
        <v>91</v>
      </c>
      <c r="F172" s="27" t="s">
        <v>103</v>
      </c>
      <c r="G172" s="27" t="s">
        <v>114</v>
      </c>
      <c r="H172" s="28" t="n">
        <v>2</v>
      </c>
      <c r="I172" s="29" t="n">
        <v>23900</v>
      </c>
      <c r="J172" s="29" t="n">
        <v>47800</v>
      </c>
      <c r="K172" s="29" t="n">
        <f aca="false">H172*I172</f>
        <v>47800</v>
      </c>
      <c r="L172" s="29" t="n">
        <f aca="false">IFERROR(INDEX(Cat_Productos!$B$2:$B$6,MATCH(G172,Cat_Productos!$A$2:$A$6,0)),"")</f>
        <v>19200</v>
      </c>
      <c r="M172" s="29" t="n">
        <f aca="false">IF(L172="","",H172*L172)</f>
        <v>38400</v>
      </c>
      <c r="N172" s="29" t="n">
        <f aca="false">IF(M172="","",J172-M172)</f>
        <v>9400</v>
      </c>
      <c r="O172" s="30" t="n">
        <f aca="false">IFERROR(N172/J172,0)</f>
        <v>0.196652719665272</v>
      </c>
      <c r="P172" s="27"/>
      <c r="Q172" s="27" t="s">
        <v>148</v>
      </c>
      <c r="R172" s="27" t="s">
        <v>149</v>
      </c>
      <c r="S172" s="27" t="n">
        <v>112</v>
      </c>
      <c r="T172" s="27"/>
    </row>
    <row r="173" customFormat="false" ht="15" hidden="false" customHeight="false" outlineLevel="0" collapsed="false">
      <c r="A173" s="26" t="n">
        <v>46047</v>
      </c>
      <c r="B173" s="27" t="n">
        <v>2026</v>
      </c>
      <c r="C173" s="27" t="n">
        <v>1</v>
      </c>
      <c r="D173" s="27" t="s">
        <v>80</v>
      </c>
      <c r="E173" s="27" t="s">
        <v>93</v>
      </c>
      <c r="F173" s="27" t="s">
        <v>104</v>
      </c>
      <c r="G173" s="27" t="s">
        <v>117</v>
      </c>
      <c r="H173" s="28" t="n">
        <v>2</v>
      </c>
      <c r="I173" s="29" t="n">
        <v>1450</v>
      </c>
      <c r="J173" s="29" t="n">
        <v>2900</v>
      </c>
      <c r="K173" s="29" t="n">
        <f aca="false">H173*I173</f>
        <v>2900</v>
      </c>
      <c r="L173" s="29" t="n">
        <f aca="false">IFERROR(INDEX(Cat_Productos!$B$2:$B$6,MATCH(G173,Cat_Productos!$A$2:$A$6,0)),"")</f>
        <v>780</v>
      </c>
      <c r="M173" s="29" t="n">
        <f aca="false">IF(L173="","",H173*L173)</f>
        <v>1560</v>
      </c>
      <c r="N173" s="29" t="n">
        <f aca="false">IF(M173="","",J173-M173)</f>
        <v>1340</v>
      </c>
      <c r="O173" s="30" t="n">
        <f aca="false">IFERROR(N173/J173,0)</f>
        <v>0.462068965517241</v>
      </c>
      <c r="P173" s="27"/>
      <c r="Q173" s="27" t="s">
        <v>148</v>
      </c>
      <c r="R173" s="27" t="s">
        <v>149</v>
      </c>
      <c r="S173" s="27" t="n">
        <v>163</v>
      </c>
      <c r="T173" s="27"/>
    </row>
    <row r="174" customFormat="false" ht="15" hidden="false" customHeight="false" outlineLevel="0" collapsed="false">
      <c r="A174" s="26" t="n">
        <v>46049</v>
      </c>
      <c r="B174" s="27" t="n">
        <v>2026</v>
      </c>
      <c r="C174" s="27" t="n">
        <v>1</v>
      </c>
      <c r="D174" s="27" t="s">
        <v>80</v>
      </c>
      <c r="E174" s="27" t="s">
        <v>92</v>
      </c>
      <c r="F174" s="27" t="s">
        <v>105</v>
      </c>
      <c r="G174" s="27" t="s">
        <v>116</v>
      </c>
      <c r="H174" s="28" t="n">
        <v>6</v>
      </c>
      <c r="I174" s="29" t="n">
        <v>620</v>
      </c>
      <c r="J174" s="29" t="n">
        <v>3720</v>
      </c>
      <c r="K174" s="29" t="n">
        <f aca="false">H174*I174</f>
        <v>3720</v>
      </c>
      <c r="L174" s="29" t="n">
        <f aca="false">IFERROR(INDEX(Cat_Productos!$B$2:$B$6,MATCH(G174,Cat_Productos!$A$2:$A$6,0)),"")</f>
        <v>290</v>
      </c>
      <c r="M174" s="29" t="n">
        <f aca="false">IF(L174="","",H174*L174)</f>
        <v>1740</v>
      </c>
      <c r="N174" s="29" t="n">
        <f aca="false">IF(M174="","",J174-M174)</f>
        <v>1980</v>
      </c>
      <c r="O174" s="30" t="n">
        <f aca="false">IFERROR(N174/J174,0)</f>
        <v>0.532258064516129</v>
      </c>
      <c r="P174" s="27"/>
      <c r="Q174" s="27" t="s">
        <v>148</v>
      </c>
      <c r="R174" s="27" t="s">
        <v>149</v>
      </c>
      <c r="S174" s="27" t="n">
        <v>31</v>
      </c>
      <c r="T174" s="27"/>
    </row>
    <row r="175" customFormat="false" ht="15" hidden="false" customHeight="false" outlineLevel="0" collapsed="false">
      <c r="A175" s="26" t="n">
        <v>46049</v>
      </c>
      <c r="B175" s="27" t="n">
        <v>2026</v>
      </c>
      <c r="C175" s="27" t="n">
        <v>1</v>
      </c>
      <c r="D175" s="27" t="s">
        <v>80</v>
      </c>
      <c r="E175" s="27" t="s">
        <v>92</v>
      </c>
      <c r="F175" s="27" t="s">
        <v>105</v>
      </c>
      <c r="G175" s="27" t="s">
        <v>117</v>
      </c>
      <c r="H175" s="28" t="n">
        <v>4</v>
      </c>
      <c r="I175" s="29" t="n">
        <v>1450</v>
      </c>
      <c r="J175" s="29" t="n">
        <v>5800</v>
      </c>
      <c r="K175" s="29" t="n">
        <f aca="false">H175*I175</f>
        <v>5800</v>
      </c>
      <c r="L175" s="29" t="n">
        <f aca="false">IFERROR(INDEX(Cat_Productos!$B$2:$B$6,MATCH(G175,Cat_Productos!$A$2:$A$6,0)),"")</f>
        <v>780</v>
      </c>
      <c r="M175" s="29" t="n">
        <f aca="false">IF(L175="","",H175*L175)</f>
        <v>3120</v>
      </c>
      <c r="N175" s="29" t="n">
        <f aca="false">IF(M175="","",J175-M175)</f>
        <v>2680</v>
      </c>
      <c r="O175" s="30" t="n">
        <f aca="false">IFERROR(N175/J175,0)</f>
        <v>0.462068965517241</v>
      </c>
      <c r="P175" s="27"/>
      <c r="Q175" s="27" t="s">
        <v>148</v>
      </c>
      <c r="R175" s="27" t="s">
        <v>149</v>
      </c>
      <c r="S175" s="27" t="n">
        <v>25</v>
      </c>
      <c r="T175" s="27"/>
    </row>
    <row r="176" customFormat="false" ht="15" hidden="false" customHeight="false" outlineLevel="0" collapsed="false">
      <c r="A176" s="26" t="n">
        <v>46049</v>
      </c>
      <c r="B176" s="27" t="n">
        <v>2026</v>
      </c>
      <c r="C176" s="27" t="n">
        <v>1</v>
      </c>
      <c r="D176" s="27" t="s">
        <v>80</v>
      </c>
      <c r="E176" s="27" t="s">
        <v>93</v>
      </c>
      <c r="F176" s="27" t="s">
        <v>108</v>
      </c>
      <c r="G176" s="27" t="s">
        <v>117</v>
      </c>
      <c r="H176" s="28" t="n">
        <v>4</v>
      </c>
      <c r="I176" s="29" t="n">
        <v>1450</v>
      </c>
      <c r="J176" s="29" t="n">
        <v>5800</v>
      </c>
      <c r="K176" s="29" t="n">
        <f aca="false">H176*I176</f>
        <v>5800</v>
      </c>
      <c r="L176" s="29" t="n">
        <f aca="false">IFERROR(INDEX(Cat_Productos!$B$2:$B$6,MATCH(G176,Cat_Productos!$A$2:$A$6,0)),"")</f>
        <v>780</v>
      </c>
      <c r="M176" s="29" t="n">
        <f aca="false">IF(L176="","",H176*L176)</f>
        <v>3120</v>
      </c>
      <c r="N176" s="29" t="n">
        <f aca="false">IF(M176="","",J176-M176)</f>
        <v>2680</v>
      </c>
      <c r="O176" s="30" t="n">
        <f aca="false">IFERROR(N176/J176,0)</f>
        <v>0.462068965517241</v>
      </c>
      <c r="P176" s="27"/>
      <c r="Q176" s="27" t="s">
        <v>148</v>
      </c>
      <c r="R176" s="27" t="s">
        <v>149</v>
      </c>
      <c r="S176" s="27" t="n">
        <v>63</v>
      </c>
      <c r="T176" s="27"/>
    </row>
    <row r="177" customFormat="false" ht="15" hidden="false" customHeight="false" outlineLevel="0" collapsed="false">
      <c r="A177" s="26" t="n">
        <v>46049</v>
      </c>
      <c r="B177" s="27" t="n">
        <v>2026</v>
      </c>
      <c r="C177" s="27" t="n">
        <v>1</v>
      </c>
      <c r="D177" s="27" t="s">
        <v>80</v>
      </c>
      <c r="E177" s="27" t="s">
        <v>91</v>
      </c>
      <c r="F177" s="27" t="s">
        <v>107</v>
      </c>
      <c r="G177" s="27" t="s">
        <v>117</v>
      </c>
      <c r="H177" s="28" t="n">
        <v>4</v>
      </c>
      <c r="I177" s="29" t="n">
        <v>1450</v>
      </c>
      <c r="J177" s="29" t="n">
        <v>5800</v>
      </c>
      <c r="K177" s="29" t="n">
        <f aca="false">H177*I177</f>
        <v>5800</v>
      </c>
      <c r="L177" s="29" t="n">
        <f aca="false">IFERROR(INDEX(Cat_Productos!$B$2:$B$6,MATCH(G177,Cat_Productos!$A$2:$A$6,0)),"")</f>
        <v>780</v>
      </c>
      <c r="M177" s="29" t="n">
        <f aca="false">IF(L177="","",H177*L177)</f>
        <v>3120</v>
      </c>
      <c r="N177" s="29" t="n">
        <f aca="false">IF(M177="","",J177-M177)</f>
        <v>2680</v>
      </c>
      <c r="O177" s="30" t="n">
        <f aca="false">IFERROR(N177/J177,0)</f>
        <v>0.462068965517241</v>
      </c>
      <c r="P177" s="27"/>
      <c r="Q177" s="27" t="s">
        <v>148</v>
      </c>
      <c r="R177" s="27" t="s">
        <v>149</v>
      </c>
      <c r="S177" s="27" t="n">
        <v>93</v>
      </c>
      <c r="T177" s="27"/>
    </row>
    <row r="178" customFormat="false" ht="15" hidden="false" customHeight="false" outlineLevel="0" collapsed="false">
      <c r="A178" s="26" t="n">
        <v>46049</v>
      </c>
      <c r="B178" s="27" t="n">
        <v>2026</v>
      </c>
      <c r="C178" s="27" t="n">
        <v>1</v>
      </c>
      <c r="D178" s="27" t="s">
        <v>80</v>
      </c>
      <c r="E178" s="27" t="s">
        <v>91</v>
      </c>
      <c r="F178" s="27" t="s">
        <v>107</v>
      </c>
      <c r="G178" s="27" t="s">
        <v>116</v>
      </c>
      <c r="H178" s="28" t="n">
        <v>6</v>
      </c>
      <c r="I178" s="29" t="n">
        <v>620</v>
      </c>
      <c r="J178" s="29" t="n">
        <v>3720</v>
      </c>
      <c r="K178" s="29" t="n">
        <f aca="false">H178*I178</f>
        <v>3720</v>
      </c>
      <c r="L178" s="29" t="n">
        <f aca="false">IFERROR(INDEX(Cat_Productos!$B$2:$B$6,MATCH(G178,Cat_Productos!$A$2:$A$6,0)),"")</f>
        <v>290</v>
      </c>
      <c r="M178" s="29" t="n">
        <f aca="false">IF(L178="","",H178*L178)</f>
        <v>1740</v>
      </c>
      <c r="N178" s="29" t="n">
        <f aca="false">IF(M178="","",J178-M178)</f>
        <v>1980</v>
      </c>
      <c r="O178" s="30" t="n">
        <f aca="false">IFERROR(N178/J178,0)</f>
        <v>0.532258064516129</v>
      </c>
      <c r="P178" s="27"/>
      <c r="Q178" s="27" t="s">
        <v>148</v>
      </c>
      <c r="R178" s="27" t="s">
        <v>149</v>
      </c>
      <c r="S178" s="27" t="n">
        <v>101</v>
      </c>
      <c r="T178" s="27"/>
    </row>
    <row r="179" customFormat="false" ht="15" hidden="false" customHeight="false" outlineLevel="0" collapsed="false">
      <c r="A179" s="26" t="n">
        <v>46049</v>
      </c>
      <c r="B179" s="27" t="n">
        <v>2026</v>
      </c>
      <c r="C179" s="27" t="n">
        <v>1</v>
      </c>
      <c r="D179" s="27" t="s">
        <v>80</v>
      </c>
      <c r="E179" s="27" t="s">
        <v>91</v>
      </c>
      <c r="F179" s="27" t="s">
        <v>103</v>
      </c>
      <c r="G179" s="27" t="s">
        <v>114</v>
      </c>
      <c r="H179" s="28" t="n">
        <v>1</v>
      </c>
      <c r="I179" s="29" t="n">
        <v>23900</v>
      </c>
      <c r="J179" s="29" t="n">
        <v>23900</v>
      </c>
      <c r="K179" s="29" t="n">
        <f aca="false">H179*I179</f>
        <v>23900</v>
      </c>
      <c r="L179" s="29" t="n">
        <f aca="false">IFERROR(INDEX(Cat_Productos!$B$2:$B$6,MATCH(G179,Cat_Productos!$A$2:$A$6,0)),"")</f>
        <v>19200</v>
      </c>
      <c r="M179" s="29" t="n">
        <f aca="false">IF(L179="","",H179*L179)</f>
        <v>19200</v>
      </c>
      <c r="N179" s="29" t="n">
        <f aca="false">IF(M179="","",J179-M179)</f>
        <v>4700</v>
      </c>
      <c r="O179" s="30" t="n">
        <f aca="false">IFERROR(N179/J179,0)</f>
        <v>0.196652719665272</v>
      </c>
      <c r="P179" s="27"/>
      <c r="Q179" s="27" t="s">
        <v>148</v>
      </c>
      <c r="R179" s="27" t="s">
        <v>149</v>
      </c>
      <c r="S179" s="27" t="n">
        <v>113</v>
      </c>
      <c r="T179" s="27"/>
    </row>
    <row r="180" customFormat="false" ht="15" hidden="false" customHeight="false" outlineLevel="0" collapsed="false">
      <c r="A180" s="26" t="n">
        <v>46049</v>
      </c>
      <c r="B180" s="27" t="n">
        <v>2026</v>
      </c>
      <c r="C180" s="27" t="n">
        <v>1</v>
      </c>
      <c r="D180" s="27" t="s">
        <v>80</v>
      </c>
      <c r="E180" s="27" t="s">
        <v>91</v>
      </c>
      <c r="F180" s="27" t="s">
        <v>103</v>
      </c>
      <c r="G180" s="27" t="s">
        <v>117</v>
      </c>
      <c r="H180" s="28" t="n">
        <v>2</v>
      </c>
      <c r="I180" s="29" t="n">
        <v>1450</v>
      </c>
      <c r="J180" s="29" t="n">
        <v>2900</v>
      </c>
      <c r="K180" s="29" t="n">
        <f aca="false">H180*I180</f>
        <v>2900</v>
      </c>
      <c r="L180" s="29" t="n">
        <f aca="false">IFERROR(INDEX(Cat_Productos!$B$2:$B$6,MATCH(G180,Cat_Productos!$A$2:$A$6,0)),"")</f>
        <v>780</v>
      </c>
      <c r="M180" s="29" t="n">
        <f aca="false">IF(L180="","",H180*L180)</f>
        <v>1560</v>
      </c>
      <c r="N180" s="29" t="n">
        <f aca="false">IF(M180="","",J180-M180)</f>
        <v>1340</v>
      </c>
      <c r="O180" s="30" t="n">
        <f aca="false">IFERROR(N180/J180,0)</f>
        <v>0.462068965517241</v>
      </c>
      <c r="P180" s="27"/>
      <c r="Q180" s="27" t="s">
        <v>148</v>
      </c>
      <c r="R180" s="27" t="s">
        <v>149</v>
      </c>
      <c r="S180" s="27" t="n">
        <v>123</v>
      </c>
      <c r="T180" s="27"/>
    </row>
    <row r="181" customFormat="false" ht="15" hidden="false" customHeight="false" outlineLevel="0" collapsed="false">
      <c r="A181" s="26" t="n">
        <v>46049</v>
      </c>
      <c r="B181" s="27" t="n">
        <v>2026</v>
      </c>
      <c r="C181" s="27" t="n">
        <v>1</v>
      </c>
      <c r="D181" s="27" t="s">
        <v>80</v>
      </c>
      <c r="E181" s="27" t="s">
        <v>92</v>
      </c>
      <c r="F181" s="27" t="s">
        <v>105</v>
      </c>
      <c r="G181" s="27" t="s">
        <v>116</v>
      </c>
      <c r="H181" s="28" t="n">
        <v>2</v>
      </c>
      <c r="I181" s="29" t="n">
        <v>620</v>
      </c>
      <c r="J181" s="29" t="n">
        <v>1240</v>
      </c>
      <c r="K181" s="29" t="n">
        <f aca="false">H181*I181</f>
        <v>1240</v>
      </c>
      <c r="L181" s="29" t="n">
        <f aca="false">IFERROR(INDEX(Cat_Productos!$B$2:$B$6,MATCH(G181,Cat_Productos!$A$2:$A$6,0)),"")</f>
        <v>290</v>
      </c>
      <c r="M181" s="29" t="n">
        <f aca="false">IF(L181="","",H181*L181)</f>
        <v>580</v>
      </c>
      <c r="N181" s="29" t="n">
        <f aca="false">IF(M181="","",J181-M181)</f>
        <v>660</v>
      </c>
      <c r="O181" s="30" t="n">
        <f aca="false">IFERROR(N181/J181,0)</f>
        <v>0.532258064516129</v>
      </c>
      <c r="P181" s="27"/>
      <c r="Q181" s="27" t="s">
        <v>148</v>
      </c>
      <c r="R181" s="27" t="s">
        <v>149</v>
      </c>
      <c r="S181" s="27" t="n">
        <v>37</v>
      </c>
      <c r="T181" s="27"/>
    </row>
    <row r="182" customFormat="false" ht="15" hidden="false" customHeight="false" outlineLevel="0" collapsed="false">
      <c r="A182" s="26" t="n">
        <v>46053</v>
      </c>
      <c r="B182" s="27" t="n">
        <v>2026</v>
      </c>
      <c r="C182" s="27" t="n">
        <v>1</v>
      </c>
      <c r="D182" s="27" t="s">
        <v>80</v>
      </c>
      <c r="E182" s="27" t="s">
        <v>91</v>
      </c>
      <c r="F182" s="27" t="s">
        <v>107</v>
      </c>
      <c r="G182" s="27" t="s">
        <v>114</v>
      </c>
      <c r="H182" s="28" t="n">
        <v>1</v>
      </c>
      <c r="I182" s="29" t="n">
        <v>23900</v>
      </c>
      <c r="J182" s="29" t="n">
        <v>23900</v>
      </c>
      <c r="K182" s="29" t="n">
        <f aca="false">H182*I182</f>
        <v>23900</v>
      </c>
      <c r="L182" s="29" t="n">
        <f aca="false">IFERROR(INDEX(Cat_Productos!$B$2:$B$6,MATCH(G182,Cat_Productos!$A$2:$A$6,0)),"")</f>
        <v>19200</v>
      </c>
      <c r="M182" s="29" t="n">
        <f aca="false">IF(L182="","",H182*L182)</f>
        <v>19200</v>
      </c>
      <c r="N182" s="29" t="n">
        <f aca="false">IF(M182="","",J182-M182)</f>
        <v>4700</v>
      </c>
      <c r="O182" s="30" t="n">
        <f aca="false">IFERROR(N182/J182,0)</f>
        <v>0.196652719665272</v>
      </c>
      <c r="P182" s="27"/>
      <c r="Q182" s="27" t="s">
        <v>148</v>
      </c>
      <c r="R182" s="27" t="s">
        <v>149</v>
      </c>
      <c r="S182" s="27" t="n">
        <v>182</v>
      </c>
      <c r="T182" s="27"/>
    </row>
    <row r="183" customFormat="false" ht="15" hidden="false" customHeight="false" outlineLevel="0" collapsed="false">
      <c r="A183" s="26" t="n">
        <v>46054</v>
      </c>
      <c r="B183" s="27" t="n">
        <v>2026</v>
      </c>
      <c r="C183" s="27" t="n">
        <v>2</v>
      </c>
      <c r="D183" s="27" t="s">
        <v>81</v>
      </c>
      <c r="E183" s="27" t="s">
        <v>91</v>
      </c>
      <c r="F183" s="27" t="s">
        <v>107</v>
      </c>
      <c r="G183" s="27" t="s">
        <v>116</v>
      </c>
      <c r="H183" s="28" t="n">
        <v>2</v>
      </c>
      <c r="I183" s="29" t="n">
        <v>620</v>
      </c>
      <c r="J183" s="29" t="n">
        <v>1240</v>
      </c>
      <c r="K183" s="29" t="n">
        <f aca="false">H183*I183</f>
        <v>1240</v>
      </c>
      <c r="L183" s="29" t="n">
        <f aca="false">IFERROR(INDEX(Cat_Productos!$B$2:$B$6,MATCH(G183,Cat_Productos!$A$2:$A$6,0)),"")</f>
        <v>290</v>
      </c>
      <c r="M183" s="29" t="n">
        <f aca="false">IF(L183="","",H183*L183)</f>
        <v>580</v>
      </c>
      <c r="N183" s="29" t="n">
        <f aca="false">IF(M183="","",J183-M183)</f>
        <v>660</v>
      </c>
      <c r="O183" s="30" t="n">
        <f aca="false">IFERROR(N183/J183,0)</f>
        <v>0.532258064516129</v>
      </c>
      <c r="P183" s="27"/>
      <c r="Q183" s="27" t="s">
        <v>151</v>
      </c>
      <c r="R183" s="27" t="s">
        <v>152</v>
      </c>
      <c r="S183" s="27" t="n">
        <v>100</v>
      </c>
      <c r="T183" s="27"/>
    </row>
    <row r="184" customFormat="false" ht="15" hidden="false" customHeight="false" outlineLevel="0" collapsed="false">
      <c r="A184" s="26" t="n">
        <v>46054</v>
      </c>
      <c r="B184" s="27" t="n">
        <v>2026</v>
      </c>
      <c r="C184" s="27" t="n">
        <v>2</v>
      </c>
      <c r="D184" s="27" t="s">
        <v>81</v>
      </c>
      <c r="E184" s="27" t="s">
        <v>91</v>
      </c>
      <c r="F184" s="27" t="s">
        <v>107</v>
      </c>
      <c r="G184" s="27" t="s">
        <v>116</v>
      </c>
      <c r="H184" s="28" t="n">
        <v>2</v>
      </c>
      <c r="I184" s="29" t="n">
        <v>620</v>
      </c>
      <c r="J184" s="29" t="n">
        <v>1240</v>
      </c>
      <c r="K184" s="29" t="n">
        <f aca="false">H184*I184</f>
        <v>1240</v>
      </c>
      <c r="L184" s="29" t="n">
        <f aca="false">IFERROR(INDEX(Cat_Productos!$B$2:$B$6,MATCH(G184,Cat_Productos!$A$2:$A$6,0)),"")</f>
        <v>290</v>
      </c>
      <c r="M184" s="29" t="n">
        <f aca="false">IF(L184="","",H184*L184)</f>
        <v>580</v>
      </c>
      <c r="N184" s="29" t="n">
        <f aca="false">IF(M184="","",J184-M184)</f>
        <v>660</v>
      </c>
      <c r="O184" s="30" t="n">
        <f aca="false">IFERROR(N184/J184,0)</f>
        <v>0.532258064516129</v>
      </c>
      <c r="P184" s="27"/>
      <c r="Q184" s="27" t="s">
        <v>151</v>
      </c>
      <c r="R184" s="27" t="s">
        <v>152</v>
      </c>
      <c r="S184" s="27" t="n">
        <v>106</v>
      </c>
      <c r="T184" s="27"/>
    </row>
    <row r="185" customFormat="false" ht="15" hidden="false" customHeight="false" outlineLevel="0" collapsed="false">
      <c r="A185" s="26" t="n">
        <v>46054</v>
      </c>
      <c r="B185" s="27" t="n">
        <v>2026</v>
      </c>
      <c r="C185" s="27" t="n">
        <v>2</v>
      </c>
      <c r="D185" s="27" t="s">
        <v>81</v>
      </c>
      <c r="E185" s="27" t="s">
        <v>91</v>
      </c>
      <c r="F185" s="27" t="s">
        <v>107</v>
      </c>
      <c r="G185" s="27" t="s">
        <v>116</v>
      </c>
      <c r="H185" s="28" t="n">
        <v>6</v>
      </c>
      <c r="I185" s="29" t="n">
        <v>620</v>
      </c>
      <c r="J185" s="29" t="n">
        <v>3720</v>
      </c>
      <c r="K185" s="29" t="n">
        <f aca="false">H185*I185</f>
        <v>3720</v>
      </c>
      <c r="L185" s="29" t="n">
        <f aca="false">IFERROR(INDEX(Cat_Productos!$B$2:$B$6,MATCH(G185,Cat_Productos!$A$2:$A$6,0)),"")</f>
        <v>290</v>
      </c>
      <c r="M185" s="29" t="n">
        <f aca="false">IF(L185="","",H185*L185)</f>
        <v>1740</v>
      </c>
      <c r="N185" s="29" t="n">
        <f aca="false">IF(M185="","",J185-M185)</f>
        <v>1980</v>
      </c>
      <c r="O185" s="30" t="n">
        <f aca="false">IFERROR(N185/J185,0)</f>
        <v>0.532258064516129</v>
      </c>
      <c r="P185" s="27"/>
      <c r="Q185" s="27" t="s">
        <v>151</v>
      </c>
      <c r="R185" s="27" t="s">
        <v>152</v>
      </c>
      <c r="S185" s="27" t="n">
        <v>98</v>
      </c>
      <c r="T185" s="27"/>
    </row>
    <row r="186" customFormat="false" ht="15" hidden="false" customHeight="false" outlineLevel="0" collapsed="false">
      <c r="A186" s="26" t="n">
        <v>46054</v>
      </c>
      <c r="B186" s="27" t="n">
        <v>2026</v>
      </c>
      <c r="C186" s="27" t="n">
        <v>2</v>
      </c>
      <c r="D186" s="27" t="s">
        <v>81</v>
      </c>
      <c r="E186" s="27" t="s">
        <v>91</v>
      </c>
      <c r="F186" s="27" t="s">
        <v>107</v>
      </c>
      <c r="G186" s="27" t="s">
        <v>116</v>
      </c>
      <c r="H186" s="28" t="n">
        <v>6</v>
      </c>
      <c r="I186" s="29" t="n">
        <v>620</v>
      </c>
      <c r="J186" s="29" t="n">
        <v>3720</v>
      </c>
      <c r="K186" s="29" t="n">
        <f aca="false">H186*I186</f>
        <v>3720</v>
      </c>
      <c r="L186" s="29" t="n">
        <f aca="false">IFERROR(INDEX(Cat_Productos!$B$2:$B$6,MATCH(G186,Cat_Productos!$A$2:$A$6,0)),"")</f>
        <v>290</v>
      </c>
      <c r="M186" s="29" t="n">
        <f aca="false">IF(L186="","",H186*L186)</f>
        <v>1740</v>
      </c>
      <c r="N186" s="29" t="n">
        <f aca="false">IF(M186="","",J186-M186)</f>
        <v>1980</v>
      </c>
      <c r="O186" s="30" t="n">
        <f aca="false">IFERROR(N186/J186,0)</f>
        <v>0.532258064516129</v>
      </c>
      <c r="P186" s="27"/>
      <c r="Q186" s="27" t="s">
        <v>151</v>
      </c>
      <c r="R186" s="27" t="s">
        <v>152</v>
      </c>
      <c r="S186" s="27" t="n">
        <v>94</v>
      </c>
      <c r="T186" s="27"/>
    </row>
    <row r="187" customFormat="false" ht="15" hidden="false" customHeight="false" outlineLevel="0" collapsed="false">
      <c r="A187" s="26" t="n">
        <v>46054</v>
      </c>
      <c r="B187" s="27" t="n">
        <v>2026</v>
      </c>
      <c r="C187" s="27" t="n">
        <v>2</v>
      </c>
      <c r="D187" s="27" t="s">
        <v>81</v>
      </c>
      <c r="E187" s="27" t="s">
        <v>91</v>
      </c>
      <c r="F187" s="27" t="s">
        <v>103</v>
      </c>
      <c r="G187" s="27" t="s">
        <v>117</v>
      </c>
      <c r="H187" s="28" t="n">
        <v>4</v>
      </c>
      <c r="I187" s="29" t="n">
        <v>1450</v>
      </c>
      <c r="J187" s="29" t="n">
        <v>5800</v>
      </c>
      <c r="K187" s="29" t="n">
        <f aca="false">H187*I187</f>
        <v>5800</v>
      </c>
      <c r="L187" s="29" t="n">
        <f aca="false">IFERROR(INDEX(Cat_Productos!$B$2:$B$6,MATCH(G187,Cat_Productos!$A$2:$A$6,0)),"")</f>
        <v>780</v>
      </c>
      <c r="M187" s="29" t="n">
        <f aca="false">IF(L187="","",H187*L187)</f>
        <v>3120</v>
      </c>
      <c r="N187" s="29" t="n">
        <f aca="false">IF(M187="","",J187-M187)</f>
        <v>2680</v>
      </c>
      <c r="O187" s="30" t="n">
        <f aca="false">IFERROR(N187/J187,0)</f>
        <v>0.462068965517241</v>
      </c>
      <c r="P187" s="27"/>
      <c r="Q187" s="27" t="s">
        <v>151</v>
      </c>
      <c r="R187" s="27" t="s">
        <v>152</v>
      </c>
      <c r="S187" s="27" t="n">
        <v>121</v>
      </c>
      <c r="T187" s="27"/>
    </row>
    <row r="188" customFormat="false" ht="15" hidden="false" customHeight="false" outlineLevel="0" collapsed="false">
      <c r="A188" s="26" t="n">
        <v>46054</v>
      </c>
      <c r="B188" s="27" t="n">
        <v>2026</v>
      </c>
      <c r="C188" s="27" t="n">
        <v>2</v>
      </c>
      <c r="D188" s="27" t="s">
        <v>81</v>
      </c>
      <c r="E188" s="27" t="s">
        <v>91</v>
      </c>
      <c r="F188" s="27" t="s">
        <v>103</v>
      </c>
      <c r="G188" s="27" t="s">
        <v>116</v>
      </c>
      <c r="H188" s="28" t="n">
        <v>6</v>
      </c>
      <c r="I188" s="29" t="n">
        <v>620</v>
      </c>
      <c r="J188" s="29" t="n">
        <v>3720</v>
      </c>
      <c r="K188" s="29" t="n">
        <f aca="false">H188*I188</f>
        <v>3720</v>
      </c>
      <c r="L188" s="29" t="n">
        <f aca="false">IFERROR(INDEX(Cat_Productos!$B$2:$B$6,MATCH(G188,Cat_Productos!$A$2:$A$6,0)),"")</f>
        <v>290</v>
      </c>
      <c r="M188" s="29" t="n">
        <f aca="false">IF(L188="","",H188*L188)</f>
        <v>1740</v>
      </c>
      <c r="N188" s="29" t="n">
        <f aca="false">IF(M188="","",J188-M188)</f>
        <v>1980</v>
      </c>
      <c r="O188" s="30" t="n">
        <f aca="false">IFERROR(N188/J188,0)</f>
        <v>0.532258064516129</v>
      </c>
      <c r="P188" s="27"/>
      <c r="Q188" s="27" t="s">
        <v>151</v>
      </c>
      <c r="R188" s="27" t="s">
        <v>152</v>
      </c>
      <c r="S188" s="27" t="n">
        <v>139</v>
      </c>
      <c r="T188" s="27"/>
    </row>
    <row r="189" customFormat="false" ht="15" hidden="false" customHeight="false" outlineLevel="0" collapsed="false">
      <c r="A189" s="26" t="n">
        <v>46054</v>
      </c>
      <c r="B189" s="27" t="n">
        <v>2026</v>
      </c>
      <c r="C189" s="27" t="n">
        <v>2</v>
      </c>
      <c r="D189" s="27" t="s">
        <v>81</v>
      </c>
      <c r="E189" s="27" t="s">
        <v>93</v>
      </c>
      <c r="F189" s="27" t="s">
        <v>108</v>
      </c>
      <c r="G189" s="27" t="s">
        <v>116</v>
      </c>
      <c r="H189" s="28" t="n">
        <v>4</v>
      </c>
      <c r="I189" s="29" t="n">
        <v>620</v>
      </c>
      <c r="J189" s="29" t="n">
        <v>2480</v>
      </c>
      <c r="K189" s="29" t="n">
        <f aca="false">H189*I189</f>
        <v>2480</v>
      </c>
      <c r="L189" s="29" t="n">
        <f aca="false">IFERROR(INDEX(Cat_Productos!$B$2:$B$6,MATCH(G189,Cat_Productos!$A$2:$A$6,0)),"")</f>
        <v>290</v>
      </c>
      <c r="M189" s="29" t="n">
        <f aca="false">IF(L189="","",H189*L189)</f>
        <v>1160</v>
      </c>
      <c r="N189" s="29" t="n">
        <f aca="false">IF(M189="","",J189-M189)</f>
        <v>1320</v>
      </c>
      <c r="O189" s="30" t="n">
        <f aca="false">IFERROR(N189/J189,0)</f>
        <v>0.532258064516129</v>
      </c>
      <c r="P189" s="27"/>
      <c r="Q189" s="27" t="s">
        <v>151</v>
      </c>
      <c r="R189" s="27" t="s">
        <v>152</v>
      </c>
      <c r="S189" s="27" t="n">
        <v>62</v>
      </c>
      <c r="T189" s="27"/>
    </row>
    <row r="190" customFormat="false" ht="15" hidden="false" customHeight="false" outlineLevel="0" collapsed="false">
      <c r="A190" s="26" t="n">
        <v>46054</v>
      </c>
      <c r="B190" s="27" t="n">
        <v>2026</v>
      </c>
      <c r="C190" s="27" t="n">
        <v>2</v>
      </c>
      <c r="D190" s="27" t="s">
        <v>81</v>
      </c>
      <c r="E190" s="27" t="s">
        <v>91</v>
      </c>
      <c r="F190" s="27" t="s">
        <v>103</v>
      </c>
      <c r="G190" s="27" t="s">
        <v>116</v>
      </c>
      <c r="H190" s="28" t="n">
        <v>4</v>
      </c>
      <c r="I190" s="29" t="n">
        <v>620</v>
      </c>
      <c r="J190" s="29" t="n">
        <v>2480</v>
      </c>
      <c r="K190" s="29" t="n">
        <f aca="false">H190*I190</f>
        <v>2480</v>
      </c>
      <c r="L190" s="29" t="n">
        <f aca="false">IFERROR(INDEX(Cat_Productos!$B$2:$B$6,MATCH(G190,Cat_Productos!$A$2:$A$6,0)),"")</f>
        <v>290</v>
      </c>
      <c r="M190" s="29" t="n">
        <f aca="false">IF(L190="","",H190*L190)</f>
        <v>1160</v>
      </c>
      <c r="N190" s="29" t="n">
        <f aca="false">IF(M190="","",J190-M190)</f>
        <v>1320</v>
      </c>
      <c r="O190" s="30" t="n">
        <f aca="false">IFERROR(N190/J190,0)</f>
        <v>0.532258064516129</v>
      </c>
      <c r="P190" s="27"/>
      <c r="Q190" s="27" t="s">
        <v>151</v>
      </c>
      <c r="R190" s="27" t="s">
        <v>152</v>
      </c>
      <c r="S190" s="27" t="n">
        <v>141</v>
      </c>
      <c r="T190" s="27"/>
    </row>
    <row r="191" customFormat="false" ht="15" hidden="false" customHeight="false" outlineLevel="0" collapsed="false">
      <c r="A191" s="26" t="n">
        <v>46054</v>
      </c>
      <c r="B191" s="27" t="n">
        <v>2026</v>
      </c>
      <c r="C191" s="27" t="n">
        <v>2</v>
      </c>
      <c r="D191" s="27" t="s">
        <v>81</v>
      </c>
      <c r="E191" s="27" t="s">
        <v>93</v>
      </c>
      <c r="F191" s="27" t="s">
        <v>104</v>
      </c>
      <c r="G191" s="27" t="s">
        <v>114</v>
      </c>
      <c r="H191" s="28" t="n">
        <v>3</v>
      </c>
      <c r="I191" s="29" t="n">
        <v>23900</v>
      </c>
      <c r="J191" s="29" t="n">
        <v>71700</v>
      </c>
      <c r="K191" s="29" t="n">
        <f aca="false">H191*I191</f>
        <v>71700</v>
      </c>
      <c r="L191" s="29" t="n">
        <f aca="false">IFERROR(INDEX(Cat_Productos!$B$2:$B$6,MATCH(G191,Cat_Productos!$A$2:$A$6,0)),"")</f>
        <v>19200</v>
      </c>
      <c r="M191" s="29" t="n">
        <f aca="false">IF(L191="","",H191*L191)</f>
        <v>57600</v>
      </c>
      <c r="N191" s="29" t="n">
        <f aca="false">IF(M191="","",J191-M191)</f>
        <v>14100</v>
      </c>
      <c r="O191" s="30" t="n">
        <f aca="false">IFERROR(N191/J191,0)</f>
        <v>0.196652719665272</v>
      </c>
      <c r="P191" s="27"/>
      <c r="Q191" s="27" t="s">
        <v>151</v>
      </c>
      <c r="R191" s="27" t="s">
        <v>152</v>
      </c>
      <c r="S191" s="27" t="n">
        <v>162</v>
      </c>
      <c r="T191" s="27"/>
    </row>
    <row r="192" customFormat="false" ht="15" hidden="false" customHeight="false" outlineLevel="0" collapsed="false">
      <c r="A192" s="26" t="n">
        <v>46054</v>
      </c>
      <c r="B192" s="27" t="n">
        <v>2026</v>
      </c>
      <c r="C192" s="27" t="n">
        <v>2</v>
      </c>
      <c r="D192" s="27" t="s">
        <v>81</v>
      </c>
      <c r="E192" s="27" t="s">
        <v>91</v>
      </c>
      <c r="F192" s="27" t="s">
        <v>107</v>
      </c>
      <c r="G192" s="27" t="s">
        <v>116</v>
      </c>
      <c r="H192" s="28" t="n">
        <v>6</v>
      </c>
      <c r="I192" s="29" t="n">
        <v>620</v>
      </c>
      <c r="J192" s="29" t="n">
        <v>3720</v>
      </c>
      <c r="K192" s="29" t="n">
        <f aca="false">H192*I192</f>
        <v>3720</v>
      </c>
      <c r="L192" s="29" t="n">
        <f aca="false">IFERROR(INDEX(Cat_Productos!$B$2:$B$6,MATCH(G192,Cat_Productos!$A$2:$A$6,0)),"")</f>
        <v>290</v>
      </c>
      <c r="M192" s="29" t="n">
        <f aca="false">IF(L192="","",H192*L192)</f>
        <v>1740</v>
      </c>
      <c r="N192" s="29" t="n">
        <f aca="false">IF(M192="","",J192-M192)</f>
        <v>1980</v>
      </c>
      <c r="O192" s="30" t="n">
        <f aca="false">IFERROR(N192/J192,0)</f>
        <v>0.532258064516129</v>
      </c>
      <c r="P192" s="27"/>
      <c r="Q192" s="27" t="s">
        <v>151</v>
      </c>
      <c r="R192" s="27" t="s">
        <v>152</v>
      </c>
      <c r="S192" s="27" t="n">
        <v>104</v>
      </c>
      <c r="T192" s="27"/>
    </row>
    <row r="193" customFormat="false" ht="15" hidden="false" customHeight="false" outlineLevel="0" collapsed="false">
      <c r="A193" s="26" t="n">
        <v>46054</v>
      </c>
      <c r="B193" s="27" t="n">
        <v>2026</v>
      </c>
      <c r="C193" s="27" t="n">
        <v>2</v>
      </c>
      <c r="D193" s="27" t="s">
        <v>81</v>
      </c>
      <c r="E193" s="27" t="s">
        <v>93</v>
      </c>
      <c r="F193" s="27" t="s">
        <v>104</v>
      </c>
      <c r="G193" s="27" t="s">
        <v>116</v>
      </c>
      <c r="H193" s="28" t="n">
        <v>2</v>
      </c>
      <c r="I193" s="29" t="n">
        <v>620</v>
      </c>
      <c r="J193" s="29" t="n">
        <v>1240</v>
      </c>
      <c r="K193" s="29" t="n">
        <f aca="false">H193*I193</f>
        <v>1240</v>
      </c>
      <c r="L193" s="29" t="n">
        <f aca="false">IFERROR(INDEX(Cat_Productos!$B$2:$B$6,MATCH(G193,Cat_Productos!$A$2:$A$6,0)),"")</f>
        <v>290</v>
      </c>
      <c r="M193" s="29" t="n">
        <f aca="false">IF(L193="","",H193*L193)</f>
        <v>580</v>
      </c>
      <c r="N193" s="29" t="n">
        <f aca="false">IF(M193="","",J193-M193)</f>
        <v>660</v>
      </c>
      <c r="O193" s="30" t="n">
        <f aca="false">IFERROR(N193/J193,0)</f>
        <v>0.532258064516129</v>
      </c>
      <c r="P193" s="27"/>
      <c r="Q193" s="27" t="s">
        <v>151</v>
      </c>
      <c r="R193" s="27" t="s">
        <v>152</v>
      </c>
      <c r="S193" s="27" t="n">
        <v>172</v>
      </c>
      <c r="T193" s="27"/>
    </row>
    <row r="194" customFormat="false" ht="15" hidden="false" customHeight="false" outlineLevel="0" collapsed="false">
      <c r="A194" s="26" t="n">
        <v>46055</v>
      </c>
      <c r="B194" s="27" t="n">
        <v>2026</v>
      </c>
      <c r="C194" s="27" t="n">
        <v>2</v>
      </c>
      <c r="D194" s="27" t="s">
        <v>81</v>
      </c>
      <c r="E194" s="27" t="s">
        <v>92</v>
      </c>
      <c r="F194" s="27" t="s">
        <v>105</v>
      </c>
      <c r="G194" s="27" t="s">
        <v>118</v>
      </c>
      <c r="H194" s="28" t="n">
        <v>5</v>
      </c>
      <c r="I194" s="29" t="n">
        <v>1180</v>
      </c>
      <c r="J194" s="29" t="n">
        <v>5900</v>
      </c>
      <c r="K194" s="29" t="n">
        <f aca="false">H194*I194</f>
        <v>5900</v>
      </c>
      <c r="L194" s="29" t="n">
        <f aca="false">IFERROR(INDEX(Cat_Productos!$B$2:$B$6,MATCH(G194,Cat_Productos!$A$2:$A$6,0)),"")</f>
        <v>590</v>
      </c>
      <c r="M194" s="29" t="n">
        <f aca="false">IF(L194="","",H194*L194)</f>
        <v>2950</v>
      </c>
      <c r="N194" s="29" t="n">
        <f aca="false">IF(M194="","",J194-M194)</f>
        <v>2950</v>
      </c>
      <c r="O194" s="30" t="n">
        <f aca="false">IFERROR(N194/J194,0)</f>
        <v>0.5</v>
      </c>
      <c r="P194" s="27"/>
      <c r="Q194" s="27" t="s">
        <v>151</v>
      </c>
      <c r="R194" s="27" t="s">
        <v>152</v>
      </c>
      <c r="S194" s="27" t="n">
        <v>30</v>
      </c>
      <c r="T194" s="27"/>
    </row>
    <row r="195" customFormat="false" ht="15" hidden="false" customHeight="false" outlineLevel="0" collapsed="false">
      <c r="A195" s="26" t="n">
        <v>46055</v>
      </c>
      <c r="B195" s="27" t="n">
        <v>2026</v>
      </c>
      <c r="C195" s="27" t="n">
        <v>2</v>
      </c>
      <c r="D195" s="27" t="s">
        <v>81</v>
      </c>
      <c r="E195" s="27" t="s">
        <v>92</v>
      </c>
      <c r="F195" s="27" t="s">
        <v>105</v>
      </c>
      <c r="G195" s="27" t="s">
        <v>118</v>
      </c>
      <c r="H195" s="28" t="n">
        <v>3</v>
      </c>
      <c r="I195" s="29" t="n">
        <v>1180</v>
      </c>
      <c r="J195" s="29" t="n">
        <v>3540</v>
      </c>
      <c r="K195" s="29" t="n">
        <f aca="false">H195*I195</f>
        <v>3540</v>
      </c>
      <c r="L195" s="29" t="n">
        <f aca="false">IFERROR(INDEX(Cat_Productos!$B$2:$B$6,MATCH(G195,Cat_Productos!$A$2:$A$6,0)),"")</f>
        <v>590</v>
      </c>
      <c r="M195" s="29" t="n">
        <f aca="false">IF(L195="","",H195*L195)</f>
        <v>1770</v>
      </c>
      <c r="N195" s="29" t="n">
        <f aca="false">IF(M195="","",J195-M195)</f>
        <v>1770</v>
      </c>
      <c r="O195" s="30" t="n">
        <f aca="false">IFERROR(N195/J195,0)</f>
        <v>0.5</v>
      </c>
      <c r="P195" s="27"/>
      <c r="Q195" s="27" t="s">
        <v>151</v>
      </c>
      <c r="R195" s="27" t="s">
        <v>152</v>
      </c>
      <c r="S195" s="27" t="n">
        <v>26</v>
      </c>
      <c r="T195" s="27"/>
    </row>
    <row r="196" customFormat="false" ht="15" hidden="false" customHeight="false" outlineLevel="0" collapsed="false">
      <c r="A196" s="26" t="n">
        <v>46056</v>
      </c>
      <c r="B196" s="27" t="n">
        <v>2026</v>
      </c>
      <c r="C196" s="27" t="n">
        <v>2</v>
      </c>
      <c r="D196" s="27" t="s">
        <v>81</v>
      </c>
      <c r="E196" s="27" t="s">
        <v>93</v>
      </c>
      <c r="F196" s="27" t="s">
        <v>108</v>
      </c>
      <c r="G196" s="27" t="s">
        <v>114</v>
      </c>
      <c r="H196" s="28" t="n">
        <v>1</v>
      </c>
      <c r="I196" s="29" t="n">
        <v>23900</v>
      </c>
      <c r="J196" s="29" t="n">
        <v>23900</v>
      </c>
      <c r="K196" s="29" t="n">
        <f aca="false">H196*I196</f>
        <v>23900</v>
      </c>
      <c r="L196" s="29" t="n">
        <f aca="false">IFERROR(INDEX(Cat_Productos!$B$2:$B$6,MATCH(G196,Cat_Productos!$A$2:$A$6,0)),"")</f>
        <v>19200</v>
      </c>
      <c r="M196" s="29" t="n">
        <f aca="false">IF(L196="","",H196*L196)</f>
        <v>19200</v>
      </c>
      <c r="N196" s="29" t="n">
        <f aca="false">IF(M196="","",J196-M196)</f>
        <v>4700</v>
      </c>
      <c r="O196" s="30" t="n">
        <f aca="false">IFERROR(N196/J196,0)</f>
        <v>0.196652719665272</v>
      </c>
      <c r="P196" s="27"/>
      <c r="Q196" s="27" t="s">
        <v>151</v>
      </c>
      <c r="R196" s="27" t="s">
        <v>152</v>
      </c>
      <c r="S196" s="27" t="n">
        <v>37</v>
      </c>
      <c r="T196" s="27"/>
    </row>
    <row r="197" customFormat="false" ht="15" hidden="false" customHeight="false" outlineLevel="0" collapsed="false">
      <c r="A197" s="26" t="n">
        <v>46056</v>
      </c>
      <c r="B197" s="27" t="n">
        <v>2026</v>
      </c>
      <c r="C197" s="27" t="n">
        <v>2</v>
      </c>
      <c r="D197" s="27" t="s">
        <v>81</v>
      </c>
      <c r="E197" s="27" t="s">
        <v>93</v>
      </c>
      <c r="F197" s="27" t="s">
        <v>108</v>
      </c>
      <c r="G197" s="27" t="s">
        <v>117</v>
      </c>
      <c r="H197" s="28" t="n">
        <v>2</v>
      </c>
      <c r="I197" s="29" t="n">
        <v>1450</v>
      </c>
      <c r="J197" s="29" t="n">
        <v>2900</v>
      </c>
      <c r="K197" s="29" t="n">
        <f aca="false">H197*I197</f>
        <v>2900</v>
      </c>
      <c r="L197" s="29" t="n">
        <f aca="false">IFERROR(INDEX(Cat_Productos!$B$2:$B$6,MATCH(G197,Cat_Productos!$A$2:$A$6,0)),"")</f>
        <v>780</v>
      </c>
      <c r="M197" s="29" t="n">
        <f aca="false">IF(L197="","",H197*L197)</f>
        <v>1560</v>
      </c>
      <c r="N197" s="29" t="n">
        <f aca="false">IF(M197="","",J197-M197)</f>
        <v>1340</v>
      </c>
      <c r="O197" s="30" t="n">
        <f aca="false">IFERROR(N197/J197,0)</f>
        <v>0.462068965517241</v>
      </c>
      <c r="P197" s="27"/>
      <c r="Q197" s="27" t="s">
        <v>151</v>
      </c>
      <c r="R197" s="27" t="s">
        <v>152</v>
      </c>
      <c r="S197" s="27" t="n">
        <v>41</v>
      </c>
      <c r="T197" s="27"/>
    </row>
    <row r="198" customFormat="false" ht="15" hidden="false" customHeight="false" outlineLevel="0" collapsed="false">
      <c r="A198" s="26" t="n">
        <v>46056</v>
      </c>
      <c r="B198" s="27" t="n">
        <v>2026</v>
      </c>
      <c r="C198" s="27" t="n">
        <v>2</v>
      </c>
      <c r="D198" s="27" t="s">
        <v>81</v>
      </c>
      <c r="E198" s="27" t="s">
        <v>91</v>
      </c>
      <c r="F198" s="27" t="s">
        <v>103</v>
      </c>
      <c r="G198" s="27" t="s">
        <v>117</v>
      </c>
      <c r="H198" s="28" t="n">
        <v>2</v>
      </c>
      <c r="I198" s="29" t="n">
        <v>1450</v>
      </c>
      <c r="J198" s="29" t="n">
        <v>2900</v>
      </c>
      <c r="K198" s="29" t="n">
        <f aca="false">H198*I198</f>
        <v>2900</v>
      </c>
      <c r="L198" s="29" t="n">
        <f aca="false">IFERROR(INDEX(Cat_Productos!$B$2:$B$6,MATCH(G198,Cat_Productos!$A$2:$A$6,0)),"")</f>
        <v>780</v>
      </c>
      <c r="M198" s="29" t="n">
        <f aca="false">IF(L198="","",H198*L198)</f>
        <v>1560</v>
      </c>
      <c r="N198" s="29" t="n">
        <f aca="false">IF(M198="","",J198-M198)</f>
        <v>1340</v>
      </c>
      <c r="O198" s="30" t="n">
        <f aca="false">IFERROR(N198/J198,0)</f>
        <v>0.462068965517241</v>
      </c>
      <c r="P198" s="27"/>
      <c r="Q198" s="27" t="s">
        <v>151</v>
      </c>
      <c r="R198" s="27" t="s">
        <v>152</v>
      </c>
      <c r="S198" s="27" t="n">
        <v>136</v>
      </c>
      <c r="T198" s="27"/>
    </row>
    <row r="199" customFormat="false" ht="15" hidden="false" customHeight="false" outlineLevel="0" collapsed="false">
      <c r="A199" s="26" t="n">
        <v>46056</v>
      </c>
      <c r="B199" s="27" t="n">
        <v>2026</v>
      </c>
      <c r="C199" s="27" t="n">
        <v>2</v>
      </c>
      <c r="D199" s="27" t="s">
        <v>81</v>
      </c>
      <c r="E199" s="27" t="s">
        <v>91</v>
      </c>
      <c r="F199" s="27" t="s">
        <v>103</v>
      </c>
      <c r="G199" s="27" t="s">
        <v>117</v>
      </c>
      <c r="H199" s="28" t="n">
        <v>6</v>
      </c>
      <c r="I199" s="29" t="n">
        <v>1450</v>
      </c>
      <c r="J199" s="29" t="n">
        <v>8700</v>
      </c>
      <c r="K199" s="29" t="n">
        <f aca="false">H199*I199</f>
        <v>8700</v>
      </c>
      <c r="L199" s="29" t="n">
        <f aca="false">IFERROR(INDEX(Cat_Productos!$B$2:$B$6,MATCH(G199,Cat_Productos!$A$2:$A$6,0)),"")</f>
        <v>780</v>
      </c>
      <c r="M199" s="29" t="n">
        <f aca="false">IF(L199="","",H199*L199)</f>
        <v>4680</v>
      </c>
      <c r="N199" s="29" t="n">
        <f aca="false">IF(M199="","",J199-M199)</f>
        <v>4020</v>
      </c>
      <c r="O199" s="30" t="n">
        <f aca="false">IFERROR(N199/J199,0)</f>
        <v>0.462068965517241</v>
      </c>
      <c r="P199" s="27"/>
      <c r="Q199" s="27" t="s">
        <v>151</v>
      </c>
      <c r="R199" s="27" t="s">
        <v>152</v>
      </c>
      <c r="S199" s="27" t="n">
        <v>128</v>
      </c>
      <c r="T199" s="27"/>
    </row>
    <row r="200" customFormat="false" ht="15" hidden="false" customHeight="false" outlineLevel="0" collapsed="false">
      <c r="A200" s="26" t="n">
        <v>46056</v>
      </c>
      <c r="B200" s="27" t="n">
        <v>2026</v>
      </c>
      <c r="C200" s="27" t="n">
        <v>2</v>
      </c>
      <c r="D200" s="27" t="s">
        <v>81</v>
      </c>
      <c r="E200" s="27" t="s">
        <v>91</v>
      </c>
      <c r="F200" s="27" t="s">
        <v>103</v>
      </c>
      <c r="G200" s="27" t="s">
        <v>117</v>
      </c>
      <c r="H200" s="28" t="n">
        <v>6</v>
      </c>
      <c r="I200" s="29" t="n">
        <v>1450</v>
      </c>
      <c r="J200" s="29" t="n">
        <v>8700</v>
      </c>
      <c r="K200" s="29" t="n">
        <f aca="false">H200*I200</f>
        <v>8700</v>
      </c>
      <c r="L200" s="29" t="n">
        <f aca="false">IFERROR(INDEX(Cat_Productos!$B$2:$B$6,MATCH(G200,Cat_Productos!$A$2:$A$6,0)),"")</f>
        <v>780</v>
      </c>
      <c r="M200" s="29" t="n">
        <f aca="false">IF(L200="","",H200*L200)</f>
        <v>4680</v>
      </c>
      <c r="N200" s="29" t="n">
        <f aca="false">IF(M200="","",J200-M200)</f>
        <v>4020</v>
      </c>
      <c r="O200" s="30" t="n">
        <f aca="false">IFERROR(N200/J200,0)</f>
        <v>0.462068965517241</v>
      </c>
      <c r="P200" s="27"/>
      <c r="Q200" s="27" t="s">
        <v>151</v>
      </c>
      <c r="R200" s="27" t="s">
        <v>152</v>
      </c>
      <c r="S200" s="27" t="n">
        <v>126</v>
      </c>
      <c r="T200" s="27"/>
    </row>
    <row r="201" customFormat="false" ht="15" hidden="false" customHeight="false" outlineLevel="0" collapsed="false">
      <c r="A201" s="26" t="n">
        <v>46056</v>
      </c>
      <c r="B201" s="27" t="n">
        <v>2026</v>
      </c>
      <c r="C201" s="27" t="n">
        <v>2</v>
      </c>
      <c r="D201" s="27" t="s">
        <v>81</v>
      </c>
      <c r="E201" s="27" t="s">
        <v>93</v>
      </c>
      <c r="F201" s="27" t="s">
        <v>108</v>
      </c>
      <c r="G201" s="27" t="s">
        <v>117</v>
      </c>
      <c r="H201" s="28" t="n">
        <v>2</v>
      </c>
      <c r="I201" s="29" t="n">
        <v>1450</v>
      </c>
      <c r="J201" s="29" t="n">
        <v>2900</v>
      </c>
      <c r="K201" s="29" t="n">
        <f aca="false">H201*I201</f>
        <v>2900</v>
      </c>
      <c r="L201" s="29" t="n">
        <f aca="false">IFERROR(INDEX(Cat_Productos!$B$2:$B$6,MATCH(G201,Cat_Productos!$A$2:$A$6,0)),"")</f>
        <v>780</v>
      </c>
      <c r="M201" s="29" t="n">
        <f aca="false">IF(L201="","",H201*L201)</f>
        <v>1560</v>
      </c>
      <c r="N201" s="29" t="n">
        <f aca="false">IF(M201="","",J201-M201)</f>
        <v>1340</v>
      </c>
      <c r="O201" s="30" t="n">
        <f aca="false">IFERROR(N201/J201,0)</f>
        <v>0.462068965517241</v>
      </c>
      <c r="P201" s="27"/>
      <c r="Q201" s="27" t="s">
        <v>151</v>
      </c>
      <c r="R201" s="27" t="s">
        <v>152</v>
      </c>
      <c r="S201" s="27" t="n">
        <v>43</v>
      </c>
      <c r="T201" s="27"/>
    </row>
    <row r="202" customFormat="false" ht="15" hidden="false" customHeight="false" outlineLevel="0" collapsed="false">
      <c r="A202" s="26" t="n">
        <v>46056</v>
      </c>
      <c r="B202" s="27" t="n">
        <v>2026</v>
      </c>
      <c r="C202" s="27" t="n">
        <v>2</v>
      </c>
      <c r="D202" s="27" t="s">
        <v>81</v>
      </c>
      <c r="E202" s="27" t="s">
        <v>93</v>
      </c>
      <c r="F202" s="27" t="s">
        <v>104</v>
      </c>
      <c r="G202" s="27" t="s">
        <v>114</v>
      </c>
      <c r="H202" s="28" t="n">
        <v>2</v>
      </c>
      <c r="I202" s="29" t="n">
        <v>23900</v>
      </c>
      <c r="J202" s="29" t="n">
        <v>47800</v>
      </c>
      <c r="K202" s="29" t="n">
        <f aca="false">H202*I202</f>
        <v>47800</v>
      </c>
      <c r="L202" s="29" t="n">
        <f aca="false">IFERROR(INDEX(Cat_Productos!$B$2:$B$6,MATCH(G202,Cat_Productos!$A$2:$A$6,0)),"")</f>
        <v>19200</v>
      </c>
      <c r="M202" s="29" t="n">
        <f aca="false">IF(L202="","",H202*L202)</f>
        <v>38400</v>
      </c>
      <c r="N202" s="29" t="n">
        <f aca="false">IF(M202="","",J202-M202)</f>
        <v>9400</v>
      </c>
      <c r="O202" s="30" t="n">
        <f aca="false">IFERROR(N202/J202,0)</f>
        <v>0.196652719665272</v>
      </c>
      <c r="P202" s="27"/>
      <c r="Q202" s="27" t="s">
        <v>151</v>
      </c>
      <c r="R202" s="27" t="s">
        <v>152</v>
      </c>
      <c r="S202" s="27" t="n">
        <v>161</v>
      </c>
      <c r="T202" s="27"/>
    </row>
    <row r="203" customFormat="false" ht="15" hidden="false" customHeight="false" outlineLevel="0" collapsed="false">
      <c r="A203" s="26" t="n">
        <v>46056</v>
      </c>
      <c r="B203" s="27" t="n">
        <v>2026</v>
      </c>
      <c r="C203" s="27" t="n">
        <v>2</v>
      </c>
      <c r="D203" s="27" t="s">
        <v>81</v>
      </c>
      <c r="E203" s="27" t="s">
        <v>91</v>
      </c>
      <c r="F203" s="27" t="s">
        <v>103</v>
      </c>
      <c r="G203" s="27" t="s">
        <v>116</v>
      </c>
      <c r="H203" s="28" t="n">
        <v>4</v>
      </c>
      <c r="I203" s="29" t="n">
        <v>620</v>
      </c>
      <c r="J203" s="29" t="n">
        <v>2480</v>
      </c>
      <c r="K203" s="29" t="n">
        <f aca="false">H203*I203</f>
        <v>2480</v>
      </c>
      <c r="L203" s="29" t="n">
        <f aca="false">IFERROR(INDEX(Cat_Productos!$B$2:$B$6,MATCH(G203,Cat_Productos!$A$2:$A$6,0)),"")</f>
        <v>290</v>
      </c>
      <c r="M203" s="29" t="n">
        <f aca="false">IF(L203="","",H203*L203)</f>
        <v>1160</v>
      </c>
      <c r="N203" s="29" t="n">
        <f aca="false">IF(M203="","",J203-M203)</f>
        <v>1320</v>
      </c>
      <c r="O203" s="30" t="n">
        <f aca="false">IFERROR(N203/J203,0)</f>
        <v>0.532258064516129</v>
      </c>
      <c r="P203" s="27"/>
      <c r="Q203" s="27" t="s">
        <v>151</v>
      </c>
      <c r="R203" s="27" t="s">
        <v>152</v>
      </c>
      <c r="S203" s="27" t="n">
        <v>154</v>
      </c>
      <c r="T203" s="27"/>
    </row>
    <row r="204" customFormat="false" ht="15" hidden="false" customHeight="false" outlineLevel="0" collapsed="false">
      <c r="A204" s="26" t="n">
        <v>46056</v>
      </c>
      <c r="B204" s="27" t="n">
        <v>2026</v>
      </c>
      <c r="C204" s="27" t="n">
        <v>2</v>
      </c>
      <c r="D204" s="27" t="s">
        <v>81</v>
      </c>
      <c r="E204" s="27" t="s">
        <v>91</v>
      </c>
      <c r="F204" s="27" t="s">
        <v>107</v>
      </c>
      <c r="G204" s="27" t="s">
        <v>117</v>
      </c>
      <c r="H204" s="28" t="n">
        <v>6</v>
      </c>
      <c r="I204" s="29" t="n">
        <v>1450</v>
      </c>
      <c r="J204" s="29" t="n">
        <v>8700</v>
      </c>
      <c r="K204" s="29" t="n">
        <f aca="false">H204*I204</f>
        <v>8700</v>
      </c>
      <c r="L204" s="29" t="n">
        <f aca="false">IFERROR(INDEX(Cat_Productos!$B$2:$B$6,MATCH(G204,Cat_Productos!$A$2:$A$6,0)),"")</f>
        <v>780</v>
      </c>
      <c r="M204" s="29" t="n">
        <f aca="false">IF(L204="","",H204*L204)</f>
        <v>4680</v>
      </c>
      <c r="N204" s="29" t="n">
        <f aca="false">IF(M204="","",J204-M204)</f>
        <v>4020</v>
      </c>
      <c r="O204" s="30" t="n">
        <f aca="false">IFERROR(N204/J204,0)</f>
        <v>0.462068965517241</v>
      </c>
      <c r="P204" s="27"/>
      <c r="Q204" s="27" t="s">
        <v>151</v>
      </c>
      <c r="R204" s="27" t="s">
        <v>152</v>
      </c>
      <c r="S204" s="27" t="n">
        <v>87</v>
      </c>
      <c r="T204" s="27"/>
    </row>
    <row r="205" customFormat="false" ht="15" hidden="false" customHeight="false" outlineLevel="0" collapsed="false">
      <c r="A205" s="26" t="n">
        <v>46056</v>
      </c>
      <c r="B205" s="27" t="n">
        <v>2026</v>
      </c>
      <c r="C205" s="27" t="n">
        <v>2</v>
      </c>
      <c r="D205" s="27" t="s">
        <v>81</v>
      </c>
      <c r="E205" s="27" t="s">
        <v>91</v>
      </c>
      <c r="F205" s="27" t="s">
        <v>107</v>
      </c>
      <c r="G205" s="27" t="s">
        <v>116</v>
      </c>
      <c r="H205" s="28" t="n">
        <v>2</v>
      </c>
      <c r="I205" s="29" t="n">
        <v>620</v>
      </c>
      <c r="J205" s="29" t="n">
        <v>1240</v>
      </c>
      <c r="K205" s="29" t="n">
        <f aca="false">H205*I205</f>
        <v>1240</v>
      </c>
      <c r="L205" s="29" t="n">
        <f aca="false">IFERROR(INDEX(Cat_Productos!$B$2:$B$6,MATCH(G205,Cat_Productos!$A$2:$A$6,0)),"")</f>
        <v>290</v>
      </c>
      <c r="M205" s="29" t="n">
        <f aca="false">IF(L205="","",H205*L205)</f>
        <v>580</v>
      </c>
      <c r="N205" s="29" t="n">
        <f aca="false">IF(M205="","",J205-M205)</f>
        <v>660</v>
      </c>
      <c r="O205" s="30" t="n">
        <f aca="false">IFERROR(N205/J205,0)</f>
        <v>0.532258064516129</v>
      </c>
      <c r="P205" s="27"/>
      <c r="Q205" s="27" t="s">
        <v>151</v>
      </c>
      <c r="R205" s="27" t="s">
        <v>152</v>
      </c>
      <c r="S205" s="27" t="n">
        <v>103</v>
      </c>
      <c r="T205" s="27"/>
    </row>
    <row r="206" customFormat="false" ht="15" hidden="false" customHeight="false" outlineLevel="0" collapsed="false">
      <c r="A206" s="26" t="n">
        <v>46056</v>
      </c>
      <c r="B206" s="27" t="n">
        <v>2026</v>
      </c>
      <c r="C206" s="27" t="n">
        <v>2</v>
      </c>
      <c r="D206" s="27" t="s">
        <v>81</v>
      </c>
      <c r="E206" s="27" t="s">
        <v>93</v>
      </c>
      <c r="F206" s="27" t="s">
        <v>104</v>
      </c>
      <c r="G206" s="27" t="s">
        <v>117</v>
      </c>
      <c r="H206" s="28" t="n">
        <v>4</v>
      </c>
      <c r="I206" s="29" t="n">
        <v>1450</v>
      </c>
      <c r="J206" s="29" t="n">
        <v>5800</v>
      </c>
      <c r="K206" s="29" t="n">
        <f aca="false">H206*I206</f>
        <v>5800</v>
      </c>
      <c r="L206" s="29" t="n">
        <f aca="false">IFERROR(INDEX(Cat_Productos!$B$2:$B$6,MATCH(G206,Cat_Productos!$A$2:$A$6,0)),"")</f>
        <v>780</v>
      </c>
      <c r="M206" s="29" t="n">
        <f aca="false">IF(L206="","",H206*L206)</f>
        <v>3120</v>
      </c>
      <c r="N206" s="29" t="n">
        <f aca="false">IF(M206="","",J206-M206)</f>
        <v>2680</v>
      </c>
      <c r="O206" s="30" t="n">
        <f aca="false">IFERROR(N206/J206,0)</f>
        <v>0.462068965517241</v>
      </c>
      <c r="P206" s="27"/>
      <c r="Q206" s="27" t="s">
        <v>151</v>
      </c>
      <c r="R206" s="27" t="s">
        <v>152</v>
      </c>
      <c r="S206" s="27" t="n">
        <v>165</v>
      </c>
      <c r="T206" s="27"/>
    </row>
    <row r="207" customFormat="false" ht="15" hidden="false" customHeight="false" outlineLevel="0" collapsed="false">
      <c r="A207" s="26" t="n">
        <v>46056</v>
      </c>
      <c r="B207" s="27" t="n">
        <v>2026</v>
      </c>
      <c r="C207" s="27" t="n">
        <v>2</v>
      </c>
      <c r="D207" s="27" t="s">
        <v>81</v>
      </c>
      <c r="E207" s="27" t="s">
        <v>93</v>
      </c>
      <c r="F207" s="27" t="s">
        <v>104</v>
      </c>
      <c r="G207" s="27" t="s">
        <v>117</v>
      </c>
      <c r="H207" s="28" t="n">
        <v>4</v>
      </c>
      <c r="I207" s="29" t="n">
        <v>1450</v>
      </c>
      <c r="J207" s="29" t="n">
        <v>5800</v>
      </c>
      <c r="K207" s="29" t="n">
        <f aca="false">H207*I207</f>
        <v>5800</v>
      </c>
      <c r="L207" s="29" t="n">
        <f aca="false">IFERROR(INDEX(Cat_Productos!$B$2:$B$6,MATCH(G207,Cat_Productos!$A$2:$A$6,0)),"")</f>
        <v>780</v>
      </c>
      <c r="M207" s="29" t="n">
        <f aca="false">IF(L207="","",H207*L207)</f>
        <v>3120</v>
      </c>
      <c r="N207" s="29" t="n">
        <f aca="false">IF(M207="","",J207-M207)</f>
        <v>2680</v>
      </c>
      <c r="O207" s="30" t="n">
        <f aca="false">IFERROR(N207/J207,0)</f>
        <v>0.462068965517241</v>
      </c>
      <c r="P207" s="27"/>
      <c r="Q207" s="27" t="s">
        <v>151</v>
      </c>
      <c r="R207" s="27" t="s">
        <v>152</v>
      </c>
      <c r="S207" s="27" t="n">
        <v>167</v>
      </c>
      <c r="T207" s="27"/>
    </row>
    <row r="208" customFormat="false" ht="15" hidden="false" customHeight="false" outlineLevel="0" collapsed="false">
      <c r="A208" s="26" t="n">
        <v>46056</v>
      </c>
      <c r="B208" s="27" t="n">
        <v>2026</v>
      </c>
      <c r="C208" s="27" t="n">
        <v>2</v>
      </c>
      <c r="D208" s="27" t="s">
        <v>81</v>
      </c>
      <c r="E208" s="27" t="s">
        <v>93</v>
      </c>
      <c r="F208" s="27" t="s">
        <v>104</v>
      </c>
      <c r="G208" s="27" t="s">
        <v>117</v>
      </c>
      <c r="H208" s="28" t="n">
        <v>4</v>
      </c>
      <c r="I208" s="29" t="n">
        <v>1450</v>
      </c>
      <c r="J208" s="29" t="n">
        <v>5800</v>
      </c>
      <c r="K208" s="29" t="n">
        <f aca="false">H208*I208</f>
        <v>5800</v>
      </c>
      <c r="L208" s="29" t="n">
        <f aca="false">IFERROR(INDEX(Cat_Productos!$B$2:$B$6,MATCH(G208,Cat_Productos!$A$2:$A$6,0)),"")</f>
        <v>780</v>
      </c>
      <c r="M208" s="29" t="n">
        <f aca="false">IF(L208="","",H208*L208)</f>
        <v>3120</v>
      </c>
      <c r="N208" s="29" t="n">
        <f aca="false">IF(M208="","",J208-M208)</f>
        <v>2680</v>
      </c>
      <c r="O208" s="30" t="n">
        <f aca="false">IFERROR(N208/J208,0)</f>
        <v>0.462068965517241</v>
      </c>
      <c r="P208" s="27"/>
      <c r="Q208" s="27" t="s">
        <v>151</v>
      </c>
      <c r="R208" s="27" t="s">
        <v>152</v>
      </c>
      <c r="S208" s="27" t="n">
        <v>163</v>
      </c>
      <c r="T208" s="27"/>
    </row>
    <row r="209" customFormat="false" ht="15" hidden="false" customHeight="false" outlineLevel="0" collapsed="false">
      <c r="A209" s="26" t="n">
        <v>46057</v>
      </c>
      <c r="B209" s="27" t="n">
        <v>2026</v>
      </c>
      <c r="C209" s="27" t="n">
        <v>2</v>
      </c>
      <c r="D209" s="27" t="s">
        <v>81</v>
      </c>
      <c r="E209" s="27" t="s">
        <v>92</v>
      </c>
      <c r="F209" s="27" t="s">
        <v>105</v>
      </c>
      <c r="G209" s="27" t="s">
        <v>118</v>
      </c>
      <c r="H209" s="28" t="n">
        <v>3</v>
      </c>
      <c r="I209" s="29" t="n">
        <v>1180</v>
      </c>
      <c r="J209" s="29" t="n">
        <v>3540</v>
      </c>
      <c r="K209" s="29" t="n">
        <f aca="false">H209*I209</f>
        <v>3540</v>
      </c>
      <c r="L209" s="29" t="n">
        <f aca="false">IFERROR(INDEX(Cat_Productos!$B$2:$B$6,MATCH(G209,Cat_Productos!$A$2:$A$6,0)),"")</f>
        <v>590</v>
      </c>
      <c r="M209" s="29" t="n">
        <f aca="false">IF(L209="","",H209*L209)</f>
        <v>1770</v>
      </c>
      <c r="N209" s="29" t="n">
        <f aca="false">IF(M209="","",J209-M209)</f>
        <v>1770</v>
      </c>
      <c r="O209" s="30" t="n">
        <f aca="false">IFERROR(N209/J209,0)</f>
        <v>0.5</v>
      </c>
      <c r="P209" s="27"/>
      <c r="Q209" s="27" t="s">
        <v>151</v>
      </c>
      <c r="R209" s="27" t="s">
        <v>152</v>
      </c>
      <c r="S209" s="27" t="n">
        <v>31</v>
      </c>
      <c r="T209" s="27"/>
    </row>
    <row r="210" customFormat="false" ht="15" hidden="false" customHeight="false" outlineLevel="0" collapsed="false">
      <c r="A210" s="26" t="n">
        <v>46057</v>
      </c>
      <c r="B210" s="27" t="n">
        <v>2026</v>
      </c>
      <c r="C210" s="27" t="n">
        <v>2</v>
      </c>
      <c r="D210" s="27" t="s">
        <v>81</v>
      </c>
      <c r="E210" s="27" t="s">
        <v>92</v>
      </c>
      <c r="F210" s="27" t="s">
        <v>105</v>
      </c>
      <c r="G210" s="27" t="s">
        <v>118</v>
      </c>
      <c r="H210" s="28" t="n">
        <v>1</v>
      </c>
      <c r="I210" s="29" t="n">
        <v>1180</v>
      </c>
      <c r="J210" s="29" t="n">
        <v>1180</v>
      </c>
      <c r="K210" s="29" t="n">
        <f aca="false">H210*I210</f>
        <v>1180</v>
      </c>
      <c r="L210" s="29" t="n">
        <f aca="false">IFERROR(INDEX(Cat_Productos!$B$2:$B$6,MATCH(G210,Cat_Productos!$A$2:$A$6,0)),"")</f>
        <v>590</v>
      </c>
      <c r="M210" s="29" t="n">
        <f aca="false">IF(L210="","",H210*L210)</f>
        <v>590</v>
      </c>
      <c r="N210" s="29" t="n">
        <f aca="false">IF(M210="","",J210-M210)</f>
        <v>590</v>
      </c>
      <c r="O210" s="30" t="n">
        <f aca="false">IFERROR(N210/J210,0)</f>
        <v>0.5</v>
      </c>
      <c r="P210" s="27"/>
      <c r="Q210" s="27" t="s">
        <v>151</v>
      </c>
      <c r="R210" s="27" t="s">
        <v>152</v>
      </c>
      <c r="S210" s="27" t="n">
        <v>27</v>
      </c>
      <c r="T210" s="27"/>
    </row>
    <row r="211" customFormat="false" ht="15" hidden="false" customHeight="false" outlineLevel="0" collapsed="false">
      <c r="A211" s="26" t="n">
        <v>46057</v>
      </c>
      <c r="B211" s="27" t="n">
        <v>2026</v>
      </c>
      <c r="C211" s="27" t="n">
        <v>2</v>
      </c>
      <c r="D211" s="27" t="s">
        <v>81</v>
      </c>
      <c r="E211" s="27" t="s">
        <v>92</v>
      </c>
      <c r="F211" s="27" t="s">
        <v>105</v>
      </c>
      <c r="G211" s="27" t="s">
        <v>115</v>
      </c>
      <c r="H211" s="28" t="n">
        <v>5</v>
      </c>
      <c r="I211" s="29" t="n">
        <v>5900</v>
      </c>
      <c r="J211" s="29" t="n">
        <v>29500</v>
      </c>
      <c r="K211" s="29" t="n">
        <f aca="false">H211*I211</f>
        <v>29500</v>
      </c>
      <c r="L211" s="29" t="n">
        <f aca="false">IFERROR(INDEX(Cat_Productos!$B$2:$B$6,MATCH(G211,Cat_Productos!$A$2:$A$6,0)),"")</f>
        <v>4100</v>
      </c>
      <c r="M211" s="29" t="n">
        <f aca="false">IF(L211="","",H211*L211)</f>
        <v>20500</v>
      </c>
      <c r="N211" s="29" t="n">
        <f aca="false">IF(M211="","",J211-M211)</f>
        <v>9000</v>
      </c>
      <c r="O211" s="30" t="n">
        <f aca="false">IFERROR(N211/J211,0)</f>
        <v>0.305084745762712</v>
      </c>
      <c r="P211" s="27"/>
      <c r="Q211" s="27" t="s">
        <v>151</v>
      </c>
      <c r="R211" s="27" t="s">
        <v>152</v>
      </c>
      <c r="S211" s="27" t="n">
        <v>11</v>
      </c>
      <c r="T211" s="27"/>
    </row>
    <row r="212" customFormat="false" ht="15" hidden="false" customHeight="false" outlineLevel="0" collapsed="false">
      <c r="A212" s="26" t="n">
        <v>46057</v>
      </c>
      <c r="B212" s="27" t="n">
        <v>2026</v>
      </c>
      <c r="C212" s="27" t="n">
        <v>2</v>
      </c>
      <c r="D212" s="27" t="s">
        <v>81</v>
      </c>
      <c r="E212" s="27" t="s">
        <v>92</v>
      </c>
      <c r="F212" s="27" t="s">
        <v>105</v>
      </c>
      <c r="G212" s="27" t="s">
        <v>114</v>
      </c>
      <c r="H212" s="28" t="n">
        <v>5</v>
      </c>
      <c r="I212" s="29" t="n">
        <v>23900</v>
      </c>
      <c r="J212" s="29" t="n">
        <v>119500</v>
      </c>
      <c r="K212" s="29" t="n">
        <f aca="false">H212*I212</f>
        <v>119500</v>
      </c>
      <c r="L212" s="29" t="n">
        <f aca="false">IFERROR(INDEX(Cat_Productos!$B$2:$B$6,MATCH(G212,Cat_Productos!$A$2:$A$6,0)),"")</f>
        <v>19200</v>
      </c>
      <c r="M212" s="29" t="n">
        <f aca="false">IF(L212="","",H212*L212)</f>
        <v>96000</v>
      </c>
      <c r="N212" s="29" t="n">
        <f aca="false">IF(M212="","",J212-M212)</f>
        <v>23500</v>
      </c>
      <c r="O212" s="30" t="n">
        <f aca="false">IFERROR(N212/J212,0)</f>
        <v>0.196652719665272</v>
      </c>
      <c r="P212" s="27"/>
      <c r="Q212" s="27" t="s">
        <v>151</v>
      </c>
      <c r="R212" s="27" t="s">
        <v>152</v>
      </c>
      <c r="S212" s="27" t="n">
        <v>7</v>
      </c>
      <c r="T212" s="27"/>
    </row>
    <row r="213" customFormat="false" ht="15" hidden="false" customHeight="false" outlineLevel="0" collapsed="false">
      <c r="A213" s="26" t="n">
        <v>46057</v>
      </c>
      <c r="B213" s="27" t="n">
        <v>2026</v>
      </c>
      <c r="C213" s="27" t="n">
        <v>2</v>
      </c>
      <c r="D213" s="27" t="s">
        <v>81</v>
      </c>
      <c r="E213" s="27" t="s">
        <v>92</v>
      </c>
      <c r="F213" s="27" t="s">
        <v>105</v>
      </c>
      <c r="G213" s="27" t="s">
        <v>118</v>
      </c>
      <c r="H213" s="28" t="n">
        <v>1</v>
      </c>
      <c r="I213" s="29" t="n">
        <v>1180</v>
      </c>
      <c r="J213" s="29" t="n">
        <v>1180</v>
      </c>
      <c r="K213" s="29" t="n">
        <f aca="false">H213*I213</f>
        <v>1180</v>
      </c>
      <c r="L213" s="29" t="n">
        <f aca="false">IFERROR(INDEX(Cat_Productos!$B$2:$B$6,MATCH(G213,Cat_Productos!$A$2:$A$6,0)),"")</f>
        <v>590</v>
      </c>
      <c r="M213" s="29" t="n">
        <f aca="false">IF(L213="","",H213*L213)</f>
        <v>590</v>
      </c>
      <c r="N213" s="29" t="n">
        <f aca="false">IF(M213="","",J213-M213)</f>
        <v>590</v>
      </c>
      <c r="O213" s="30" t="n">
        <f aca="false">IFERROR(N213/J213,0)</f>
        <v>0.5</v>
      </c>
      <c r="P213" s="27"/>
      <c r="Q213" s="27" t="s">
        <v>151</v>
      </c>
      <c r="R213" s="27" t="s">
        <v>152</v>
      </c>
      <c r="S213" s="27" t="n">
        <v>29</v>
      </c>
      <c r="T213" s="27"/>
    </row>
    <row r="214" customFormat="false" ht="15" hidden="false" customHeight="false" outlineLevel="0" collapsed="false">
      <c r="A214" s="26" t="n">
        <v>46058</v>
      </c>
      <c r="B214" s="27" t="n">
        <v>2026</v>
      </c>
      <c r="C214" s="27" t="n">
        <v>2</v>
      </c>
      <c r="D214" s="27" t="s">
        <v>81</v>
      </c>
      <c r="E214" s="27" t="s">
        <v>91</v>
      </c>
      <c r="F214" s="27" t="s">
        <v>107</v>
      </c>
      <c r="G214" s="27" t="s">
        <v>117</v>
      </c>
      <c r="H214" s="28" t="n">
        <v>2</v>
      </c>
      <c r="I214" s="29" t="n">
        <v>1450</v>
      </c>
      <c r="J214" s="29" t="n">
        <v>2900</v>
      </c>
      <c r="K214" s="29" t="n">
        <f aca="false">H214*I214</f>
        <v>2900</v>
      </c>
      <c r="L214" s="29" t="n">
        <f aca="false">IFERROR(INDEX(Cat_Productos!$B$2:$B$6,MATCH(G214,Cat_Productos!$A$2:$A$6,0)),"")</f>
        <v>780</v>
      </c>
      <c r="M214" s="29" t="n">
        <f aca="false">IF(L214="","",H214*L214)</f>
        <v>1560</v>
      </c>
      <c r="N214" s="29" t="n">
        <f aca="false">IF(M214="","",J214-M214)</f>
        <v>1340</v>
      </c>
      <c r="O214" s="30" t="n">
        <f aca="false">IFERROR(N214/J214,0)</f>
        <v>0.462068965517241</v>
      </c>
      <c r="P214" s="27"/>
      <c r="Q214" s="27" t="s">
        <v>151</v>
      </c>
      <c r="R214" s="27" t="s">
        <v>152</v>
      </c>
      <c r="S214" s="27" t="n">
        <v>88</v>
      </c>
      <c r="T214" s="27"/>
    </row>
    <row r="215" customFormat="false" ht="15" hidden="false" customHeight="false" outlineLevel="0" collapsed="false">
      <c r="A215" s="26" t="n">
        <v>46058</v>
      </c>
      <c r="B215" s="27" t="n">
        <v>2026</v>
      </c>
      <c r="C215" s="27" t="n">
        <v>2</v>
      </c>
      <c r="D215" s="27" t="s">
        <v>81</v>
      </c>
      <c r="E215" s="27" t="s">
        <v>91</v>
      </c>
      <c r="F215" s="27" t="s">
        <v>107</v>
      </c>
      <c r="G215" s="27" t="s">
        <v>116</v>
      </c>
      <c r="H215" s="28" t="n">
        <v>2</v>
      </c>
      <c r="I215" s="29" t="n">
        <v>620</v>
      </c>
      <c r="J215" s="29" t="n">
        <v>1240</v>
      </c>
      <c r="K215" s="29" t="n">
        <f aca="false">H215*I215</f>
        <v>1240</v>
      </c>
      <c r="L215" s="29" t="n">
        <f aca="false">IFERROR(INDEX(Cat_Productos!$B$2:$B$6,MATCH(G215,Cat_Productos!$A$2:$A$6,0)),"")</f>
        <v>290</v>
      </c>
      <c r="M215" s="29" t="n">
        <f aca="false">IF(L215="","",H215*L215)</f>
        <v>580</v>
      </c>
      <c r="N215" s="29" t="n">
        <f aca="false">IF(M215="","",J215-M215)</f>
        <v>660</v>
      </c>
      <c r="O215" s="30" t="n">
        <f aca="false">IFERROR(N215/J215,0)</f>
        <v>0.532258064516129</v>
      </c>
      <c r="P215" s="27"/>
      <c r="Q215" s="27" t="s">
        <v>151</v>
      </c>
      <c r="R215" s="27" t="s">
        <v>152</v>
      </c>
      <c r="S215" s="27" t="n">
        <v>90</v>
      </c>
      <c r="T215" s="27"/>
    </row>
    <row r="216" customFormat="false" ht="15" hidden="false" customHeight="false" outlineLevel="0" collapsed="false">
      <c r="A216" s="26" t="n">
        <v>46058</v>
      </c>
      <c r="B216" s="27" t="n">
        <v>2026</v>
      </c>
      <c r="C216" s="27" t="n">
        <v>2</v>
      </c>
      <c r="D216" s="27" t="s">
        <v>81</v>
      </c>
      <c r="E216" s="27" t="s">
        <v>91</v>
      </c>
      <c r="F216" s="27" t="s">
        <v>107</v>
      </c>
      <c r="G216" s="27" t="s">
        <v>116</v>
      </c>
      <c r="H216" s="28" t="n">
        <v>2</v>
      </c>
      <c r="I216" s="29" t="n">
        <v>620</v>
      </c>
      <c r="J216" s="29" t="n">
        <v>1240</v>
      </c>
      <c r="K216" s="29" t="n">
        <f aca="false">H216*I216</f>
        <v>1240</v>
      </c>
      <c r="L216" s="29" t="n">
        <f aca="false">IFERROR(INDEX(Cat_Productos!$B$2:$B$6,MATCH(G216,Cat_Productos!$A$2:$A$6,0)),"")</f>
        <v>290</v>
      </c>
      <c r="M216" s="29" t="n">
        <f aca="false">IF(L216="","",H216*L216)</f>
        <v>580</v>
      </c>
      <c r="N216" s="29" t="n">
        <f aca="false">IF(M216="","",J216-M216)</f>
        <v>660</v>
      </c>
      <c r="O216" s="30" t="n">
        <f aca="false">IFERROR(N216/J216,0)</f>
        <v>0.532258064516129</v>
      </c>
      <c r="P216" s="27"/>
      <c r="Q216" s="27" t="s">
        <v>151</v>
      </c>
      <c r="R216" s="27" t="s">
        <v>152</v>
      </c>
      <c r="S216" s="27" t="n">
        <v>96</v>
      </c>
      <c r="T216" s="27"/>
    </row>
    <row r="217" customFormat="false" ht="15" hidden="false" customHeight="false" outlineLevel="0" collapsed="false">
      <c r="A217" s="26" t="n">
        <v>46058</v>
      </c>
      <c r="B217" s="27" t="n">
        <v>2026</v>
      </c>
      <c r="C217" s="27" t="n">
        <v>2</v>
      </c>
      <c r="D217" s="27" t="s">
        <v>81</v>
      </c>
      <c r="E217" s="27" t="s">
        <v>91</v>
      </c>
      <c r="F217" s="27" t="s">
        <v>107</v>
      </c>
      <c r="G217" s="27" t="s">
        <v>117</v>
      </c>
      <c r="H217" s="28" t="n">
        <v>4</v>
      </c>
      <c r="I217" s="29" t="n">
        <v>1450</v>
      </c>
      <c r="J217" s="29" t="n">
        <v>5800</v>
      </c>
      <c r="K217" s="29" t="n">
        <f aca="false">H217*I217</f>
        <v>5800</v>
      </c>
      <c r="L217" s="29" t="n">
        <f aca="false">IFERROR(INDEX(Cat_Productos!$B$2:$B$6,MATCH(G217,Cat_Productos!$A$2:$A$6,0)),"")</f>
        <v>780</v>
      </c>
      <c r="M217" s="29" t="n">
        <f aca="false">IF(L217="","",H217*L217)</f>
        <v>3120</v>
      </c>
      <c r="N217" s="29" t="n">
        <f aca="false">IF(M217="","",J217-M217)</f>
        <v>2680</v>
      </c>
      <c r="O217" s="30" t="n">
        <f aca="false">IFERROR(N217/J217,0)</f>
        <v>0.462068965517241</v>
      </c>
      <c r="P217" s="27"/>
      <c r="Q217" s="27" t="s">
        <v>151</v>
      </c>
      <c r="R217" s="27" t="s">
        <v>152</v>
      </c>
      <c r="S217" s="27" t="n">
        <v>82</v>
      </c>
      <c r="T217" s="27"/>
    </row>
    <row r="218" customFormat="false" ht="15" hidden="false" customHeight="false" outlineLevel="0" collapsed="false">
      <c r="A218" s="26" t="n">
        <v>46058</v>
      </c>
      <c r="B218" s="27" t="n">
        <v>2026</v>
      </c>
      <c r="C218" s="27" t="n">
        <v>2</v>
      </c>
      <c r="D218" s="27" t="s">
        <v>81</v>
      </c>
      <c r="E218" s="27" t="s">
        <v>93</v>
      </c>
      <c r="F218" s="27" t="s">
        <v>104</v>
      </c>
      <c r="G218" s="27" t="s">
        <v>116</v>
      </c>
      <c r="H218" s="28" t="n">
        <v>6</v>
      </c>
      <c r="I218" s="29" t="n">
        <v>620</v>
      </c>
      <c r="J218" s="29" t="n">
        <v>3720</v>
      </c>
      <c r="K218" s="29" t="n">
        <f aca="false">H218*I218</f>
        <v>3720</v>
      </c>
      <c r="L218" s="29" t="n">
        <f aca="false">IFERROR(INDEX(Cat_Productos!$B$2:$B$6,MATCH(G218,Cat_Productos!$A$2:$A$6,0)),"")</f>
        <v>290</v>
      </c>
      <c r="M218" s="29" t="n">
        <f aca="false">IF(L218="","",H218*L218)</f>
        <v>1740</v>
      </c>
      <c r="N218" s="29" t="n">
        <f aca="false">IF(M218="","",J218-M218)</f>
        <v>1980</v>
      </c>
      <c r="O218" s="30" t="n">
        <f aca="false">IFERROR(N218/J218,0)</f>
        <v>0.532258064516129</v>
      </c>
      <c r="P218" s="27"/>
      <c r="Q218" s="27" t="s">
        <v>151</v>
      </c>
      <c r="R218" s="27" t="s">
        <v>152</v>
      </c>
      <c r="S218" s="27" t="n">
        <v>174</v>
      </c>
      <c r="T218" s="27"/>
    </row>
    <row r="219" customFormat="false" ht="15" hidden="false" customHeight="false" outlineLevel="0" collapsed="false">
      <c r="A219" s="26" t="n">
        <v>46058</v>
      </c>
      <c r="B219" s="27" t="n">
        <v>2026</v>
      </c>
      <c r="C219" s="27" t="n">
        <v>2</v>
      </c>
      <c r="D219" s="27" t="s">
        <v>81</v>
      </c>
      <c r="E219" s="27" t="s">
        <v>93</v>
      </c>
      <c r="F219" s="27" t="s">
        <v>108</v>
      </c>
      <c r="G219" s="27" t="s">
        <v>116</v>
      </c>
      <c r="H219" s="28" t="n">
        <v>6</v>
      </c>
      <c r="I219" s="29" t="n">
        <v>620</v>
      </c>
      <c r="J219" s="29" t="n">
        <v>3720</v>
      </c>
      <c r="K219" s="29" t="n">
        <f aca="false">H219*I219</f>
        <v>3720</v>
      </c>
      <c r="L219" s="29" t="n">
        <f aca="false">IFERROR(INDEX(Cat_Productos!$B$2:$B$6,MATCH(G219,Cat_Productos!$A$2:$A$6,0)),"")</f>
        <v>290</v>
      </c>
      <c r="M219" s="29" t="n">
        <f aca="false">IF(L219="","",H219*L219)</f>
        <v>1740</v>
      </c>
      <c r="N219" s="29" t="n">
        <f aca="false">IF(M219="","",J219-M219)</f>
        <v>1980</v>
      </c>
      <c r="O219" s="30" t="n">
        <f aca="false">IFERROR(N219/J219,0)</f>
        <v>0.532258064516129</v>
      </c>
      <c r="P219" s="27"/>
      <c r="Q219" s="27" t="s">
        <v>151</v>
      </c>
      <c r="R219" s="27" t="s">
        <v>152</v>
      </c>
      <c r="S219" s="27" t="n">
        <v>56</v>
      </c>
      <c r="T219" s="27"/>
    </row>
    <row r="220" customFormat="false" ht="15" hidden="false" customHeight="false" outlineLevel="0" collapsed="false">
      <c r="A220" s="26" t="n">
        <v>46058</v>
      </c>
      <c r="B220" s="27" t="n">
        <v>2026</v>
      </c>
      <c r="C220" s="27" t="n">
        <v>2</v>
      </c>
      <c r="D220" s="27" t="s">
        <v>81</v>
      </c>
      <c r="E220" s="27" t="s">
        <v>93</v>
      </c>
      <c r="F220" s="27" t="s">
        <v>108</v>
      </c>
      <c r="G220" s="27" t="s">
        <v>116</v>
      </c>
      <c r="H220" s="28" t="n">
        <v>4</v>
      </c>
      <c r="I220" s="29" t="n">
        <v>620</v>
      </c>
      <c r="J220" s="29" t="n">
        <v>2480</v>
      </c>
      <c r="K220" s="29" t="n">
        <f aca="false">H220*I220</f>
        <v>2480</v>
      </c>
      <c r="L220" s="29" t="n">
        <f aca="false">IFERROR(INDEX(Cat_Productos!$B$2:$B$6,MATCH(G220,Cat_Productos!$A$2:$A$6,0)),"")</f>
        <v>290</v>
      </c>
      <c r="M220" s="29" t="n">
        <f aca="false">IF(L220="","",H220*L220)</f>
        <v>1160</v>
      </c>
      <c r="N220" s="29" t="n">
        <f aca="false">IF(M220="","",J220-M220)</f>
        <v>1320</v>
      </c>
      <c r="O220" s="30" t="n">
        <f aca="false">IFERROR(N220/J220,0)</f>
        <v>0.532258064516129</v>
      </c>
      <c r="P220" s="27"/>
      <c r="Q220" s="27" t="s">
        <v>151</v>
      </c>
      <c r="R220" s="27" t="s">
        <v>152</v>
      </c>
      <c r="S220" s="27" t="n">
        <v>54</v>
      </c>
      <c r="T220" s="27"/>
    </row>
    <row r="221" customFormat="false" ht="15" hidden="false" customHeight="false" outlineLevel="0" collapsed="false">
      <c r="A221" s="26" t="n">
        <v>46058</v>
      </c>
      <c r="B221" s="27" t="n">
        <v>2026</v>
      </c>
      <c r="C221" s="27" t="n">
        <v>2</v>
      </c>
      <c r="D221" s="27" t="s">
        <v>81</v>
      </c>
      <c r="E221" s="27" t="s">
        <v>93</v>
      </c>
      <c r="F221" s="27" t="s">
        <v>108</v>
      </c>
      <c r="G221" s="27" t="s">
        <v>117</v>
      </c>
      <c r="H221" s="28" t="n">
        <v>2</v>
      </c>
      <c r="I221" s="29" t="n">
        <v>1450</v>
      </c>
      <c r="J221" s="29" t="n">
        <v>2900</v>
      </c>
      <c r="K221" s="29" t="n">
        <f aca="false">H221*I221</f>
        <v>2900</v>
      </c>
      <c r="L221" s="29" t="n">
        <f aca="false">IFERROR(INDEX(Cat_Productos!$B$2:$B$6,MATCH(G221,Cat_Productos!$A$2:$A$6,0)),"")</f>
        <v>780</v>
      </c>
      <c r="M221" s="29" t="n">
        <f aca="false">IF(L221="","",H221*L221)</f>
        <v>1560</v>
      </c>
      <c r="N221" s="29" t="n">
        <f aca="false">IF(M221="","",J221-M221)</f>
        <v>1340</v>
      </c>
      <c r="O221" s="30" t="n">
        <f aca="false">IFERROR(N221/J221,0)</f>
        <v>0.462068965517241</v>
      </c>
      <c r="P221" s="27"/>
      <c r="Q221" s="27" t="s">
        <v>151</v>
      </c>
      <c r="R221" s="27" t="s">
        <v>152</v>
      </c>
      <c r="S221" s="27" t="n">
        <v>52</v>
      </c>
      <c r="T221" s="27"/>
    </row>
    <row r="222" customFormat="false" ht="15" hidden="false" customHeight="false" outlineLevel="0" collapsed="false">
      <c r="A222" s="26" t="n">
        <v>46058</v>
      </c>
      <c r="B222" s="27" t="n">
        <v>2026</v>
      </c>
      <c r="C222" s="27" t="n">
        <v>2</v>
      </c>
      <c r="D222" s="27" t="s">
        <v>81</v>
      </c>
      <c r="E222" s="27" t="s">
        <v>91</v>
      </c>
      <c r="F222" s="27" t="s">
        <v>103</v>
      </c>
      <c r="G222" s="27" t="s">
        <v>116</v>
      </c>
      <c r="H222" s="28" t="n">
        <v>2</v>
      </c>
      <c r="I222" s="29" t="n">
        <v>620</v>
      </c>
      <c r="J222" s="29" t="n">
        <v>1240</v>
      </c>
      <c r="K222" s="29" t="n">
        <f aca="false">H222*I222</f>
        <v>1240</v>
      </c>
      <c r="L222" s="29" t="n">
        <f aca="false">IFERROR(INDEX(Cat_Productos!$B$2:$B$6,MATCH(G222,Cat_Productos!$A$2:$A$6,0)),"")</f>
        <v>290</v>
      </c>
      <c r="M222" s="29" t="n">
        <f aca="false">IF(L222="","",H222*L222)</f>
        <v>580</v>
      </c>
      <c r="N222" s="29" t="n">
        <f aca="false">IF(M222="","",J222-M222)</f>
        <v>660</v>
      </c>
      <c r="O222" s="30" t="n">
        <f aca="false">IFERROR(N222/J222,0)</f>
        <v>0.532258064516129</v>
      </c>
      <c r="P222" s="27"/>
      <c r="Q222" s="27" t="s">
        <v>151</v>
      </c>
      <c r="R222" s="27" t="s">
        <v>152</v>
      </c>
      <c r="S222" s="27" t="n">
        <v>151</v>
      </c>
      <c r="T222" s="27"/>
    </row>
    <row r="223" customFormat="false" ht="15" hidden="false" customHeight="false" outlineLevel="0" collapsed="false">
      <c r="A223" s="26" t="n">
        <v>46058</v>
      </c>
      <c r="B223" s="27" t="n">
        <v>2026</v>
      </c>
      <c r="C223" s="27" t="n">
        <v>2</v>
      </c>
      <c r="D223" s="27" t="s">
        <v>81</v>
      </c>
      <c r="E223" s="27" t="s">
        <v>93</v>
      </c>
      <c r="F223" s="27" t="s">
        <v>108</v>
      </c>
      <c r="G223" s="27" t="s">
        <v>117</v>
      </c>
      <c r="H223" s="28" t="n">
        <v>4</v>
      </c>
      <c r="I223" s="29" t="n">
        <v>1450</v>
      </c>
      <c r="J223" s="29" t="n">
        <v>5800</v>
      </c>
      <c r="K223" s="29" t="n">
        <f aca="false">H223*I223</f>
        <v>5800</v>
      </c>
      <c r="L223" s="29" t="n">
        <f aca="false">IFERROR(INDEX(Cat_Productos!$B$2:$B$6,MATCH(G223,Cat_Productos!$A$2:$A$6,0)),"")</f>
        <v>780</v>
      </c>
      <c r="M223" s="29" t="n">
        <f aca="false">IF(L223="","",H223*L223)</f>
        <v>3120</v>
      </c>
      <c r="N223" s="29" t="n">
        <f aca="false">IF(M223="","",J223-M223)</f>
        <v>2680</v>
      </c>
      <c r="O223" s="30" t="n">
        <f aca="false">IFERROR(N223/J223,0)</f>
        <v>0.462068965517241</v>
      </c>
      <c r="P223" s="27"/>
      <c r="Q223" s="27" t="s">
        <v>151</v>
      </c>
      <c r="R223" s="27" t="s">
        <v>152</v>
      </c>
      <c r="S223" s="27" t="n">
        <v>48</v>
      </c>
      <c r="T223" s="27"/>
    </row>
    <row r="224" customFormat="false" ht="15" hidden="false" customHeight="false" outlineLevel="0" collapsed="false">
      <c r="A224" s="26" t="n">
        <v>46058</v>
      </c>
      <c r="B224" s="27" t="n">
        <v>2026</v>
      </c>
      <c r="C224" s="27" t="n">
        <v>2</v>
      </c>
      <c r="D224" s="27" t="s">
        <v>81</v>
      </c>
      <c r="E224" s="27" t="s">
        <v>91</v>
      </c>
      <c r="F224" s="27" t="s">
        <v>103</v>
      </c>
      <c r="G224" s="27" t="s">
        <v>116</v>
      </c>
      <c r="H224" s="28" t="n">
        <v>4</v>
      </c>
      <c r="I224" s="29" t="n">
        <v>620</v>
      </c>
      <c r="J224" s="29" t="n">
        <v>2480</v>
      </c>
      <c r="K224" s="29" t="n">
        <f aca="false">H224*I224</f>
        <v>2480</v>
      </c>
      <c r="L224" s="29" t="n">
        <f aca="false">IFERROR(INDEX(Cat_Productos!$B$2:$B$6,MATCH(G224,Cat_Productos!$A$2:$A$6,0)),"")</f>
        <v>290</v>
      </c>
      <c r="M224" s="29" t="n">
        <f aca="false">IF(L224="","",H224*L224)</f>
        <v>1160</v>
      </c>
      <c r="N224" s="29" t="n">
        <f aca="false">IF(M224="","",J224-M224)</f>
        <v>1320</v>
      </c>
      <c r="O224" s="30" t="n">
        <f aca="false">IFERROR(N224/J224,0)</f>
        <v>0.532258064516129</v>
      </c>
      <c r="P224" s="27"/>
      <c r="Q224" s="27" t="s">
        <v>151</v>
      </c>
      <c r="R224" s="27" t="s">
        <v>152</v>
      </c>
      <c r="S224" s="27" t="n">
        <v>143</v>
      </c>
      <c r="T224" s="27"/>
    </row>
    <row r="225" customFormat="false" ht="15" hidden="false" customHeight="false" outlineLevel="0" collapsed="false">
      <c r="A225" s="26" t="n">
        <v>46058</v>
      </c>
      <c r="B225" s="27" t="n">
        <v>2026</v>
      </c>
      <c r="C225" s="27" t="n">
        <v>2</v>
      </c>
      <c r="D225" s="27" t="s">
        <v>81</v>
      </c>
      <c r="E225" s="27" t="s">
        <v>93</v>
      </c>
      <c r="F225" s="27" t="s">
        <v>104</v>
      </c>
      <c r="G225" s="27" t="s">
        <v>117</v>
      </c>
      <c r="H225" s="28" t="n">
        <v>2</v>
      </c>
      <c r="I225" s="29" t="n">
        <v>1450</v>
      </c>
      <c r="J225" s="29" t="n">
        <v>2900</v>
      </c>
      <c r="K225" s="29" t="n">
        <f aca="false">H225*I225</f>
        <v>2900</v>
      </c>
      <c r="L225" s="29" t="n">
        <f aca="false">IFERROR(INDEX(Cat_Productos!$B$2:$B$6,MATCH(G225,Cat_Productos!$A$2:$A$6,0)),"")</f>
        <v>780</v>
      </c>
      <c r="M225" s="29" t="n">
        <f aca="false">IF(L225="","",H225*L225)</f>
        <v>1560</v>
      </c>
      <c r="N225" s="29" t="n">
        <f aca="false">IF(M225="","",J225-M225)</f>
        <v>1340</v>
      </c>
      <c r="O225" s="30" t="n">
        <f aca="false">IFERROR(N225/J225,0)</f>
        <v>0.462068965517241</v>
      </c>
      <c r="P225" s="27"/>
      <c r="Q225" s="27" t="s">
        <v>151</v>
      </c>
      <c r="R225" s="27" t="s">
        <v>152</v>
      </c>
      <c r="S225" s="27" t="n">
        <v>166</v>
      </c>
      <c r="T225" s="27"/>
    </row>
    <row r="226" customFormat="false" ht="15" hidden="false" customHeight="false" outlineLevel="0" collapsed="false">
      <c r="A226" s="26" t="n">
        <v>46058</v>
      </c>
      <c r="B226" s="27" t="n">
        <v>2026</v>
      </c>
      <c r="C226" s="27" t="n">
        <v>2</v>
      </c>
      <c r="D226" s="27" t="s">
        <v>81</v>
      </c>
      <c r="E226" s="27" t="s">
        <v>91</v>
      </c>
      <c r="F226" s="27" t="s">
        <v>103</v>
      </c>
      <c r="G226" s="27" t="s">
        <v>116</v>
      </c>
      <c r="H226" s="28" t="n">
        <v>6</v>
      </c>
      <c r="I226" s="29" t="n">
        <v>620</v>
      </c>
      <c r="J226" s="29" t="n">
        <v>3720</v>
      </c>
      <c r="K226" s="29" t="n">
        <f aca="false">H226*I226</f>
        <v>3720</v>
      </c>
      <c r="L226" s="29" t="n">
        <f aca="false">IFERROR(INDEX(Cat_Productos!$B$2:$B$6,MATCH(G226,Cat_Productos!$A$2:$A$6,0)),"")</f>
        <v>290</v>
      </c>
      <c r="M226" s="29" t="n">
        <f aca="false">IF(L226="","",H226*L226)</f>
        <v>1740</v>
      </c>
      <c r="N226" s="29" t="n">
        <f aca="false">IF(M226="","",J226-M226)</f>
        <v>1980</v>
      </c>
      <c r="O226" s="30" t="n">
        <f aca="false">IFERROR(N226/J226,0)</f>
        <v>0.532258064516129</v>
      </c>
      <c r="P226" s="27"/>
      <c r="Q226" s="27" t="s">
        <v>151</v>
      </c>
      <c r="R226" s="27" t="s">
        <v>152</v>
      </c>
      <c r="S226" s="27" t="n">
        <v>155</v>
      </c>
      <c r="T226" s="27"/>
    </row>
    <row r="227" customFormat="false" ht="15" hidden="false" customHeight="false" outlineLevel="0" collapsed="false">
      <c r="A227" s="26" t="n">
        <v>46058</v>
      </c>
      <c r="B227" s="27" t="n">
        <v>2026</v>
      </c>
      <c r="C227" s="27" t="n">
        <v>2</v>
      </c>
      <c r="D227" s="27" t="s">
        <v>81</v>
      </c>
      <c r="E227" s="27" t="s">
        <v>93</v>
      </c>
      <c r="F227" s="27" t="s">
        <v>104</v>
      </c>
      <c r="G227" s="27" t="s">
        <v>117</v>
      </c>
      <c r="H227" s="28" t="n">
        <v>2</v>
      </c>
      <c r="I227" s="29" t="n">
        <v>1450</v>
      </c>
      <c r="J227" s="29" t="n">
        <v>2900</v>
      </c>
      <c r="K227" s="29" t="n">
        <f aca="false">H227*I227</f>
        <v>2900</v>
      </c>
      <c r="L227" s="29" t="n">
        <f aca="false">IFERROR(INDEX(Cat_Productos!$B$2:$B$6,MATCH(G227,Cat_Productos!$A$2:$A$6,0)),"")</f>
        <v>780</v>
      </c>
      <c r="M227" s="29" t="n">
        <f aca="false">IF(L227="","",H227*L227)</f>
        <v>1560</v>
      </c>
      <c r="N227" s="29" t="n">
        <f aca="false">IF(M227="","",J227-M227)</f>
        <v>1340</v>
      </c>
      <c r="O227" s="30" t="n">
        <f aca="false">IFERROR(N227/J227,0)</f>
        <v>0.462068965517241</v>
      </c>
      <c r="P227" s="27"/>
      <c r="Q227" s="27" t="s">
        <v>151</v>
      </c>
      <c r="R227" s="27" t="s">
        <v>152</v>
      </c>
      <c r="S227" s="27" t="n">
        <v>164</v>
      </c>
      <c r="T227" s="27"/>
    </row>
    <row r="228" customFormat="false" ht="15" hidden="false" customHeight="false" outlineLevel="0" collapsed="false">
      <c r="A228" s="26" t="n">
        <v>46060</v>
      </c>
      <c r="B228" s="27" t="n">
        <v>2026</v>
      </c>
      <c r="C228" s="27" t="n">
        <v>2</v>
      </c>
      <c r="D228" s="27" t="s">
        <v>81</v>
      </c>
      <c r="E228" s="27" t="s">
        <v>93</v>
      </c>
      <c r="F228" s="27" t="s">
        <v>108</v>
      </c>
      <c r="G228" s="27" t="s">
        <v>114</v>
      </c>
      <c r="H228" s="28" t="n">
        <v>6</v>
      </c>
      <c r="I228" s="29" t="n">
        <v>23900</v>
      </c>
      <c r="J228" s="29" t="n">
        <v>143400</v>
      </c>
      <c r="K228" s="29" t="n">
        <f aca="false">H228*I228</f>
        <v>143400</v>
      </c>
      <c r="L228" s="29" t="n">
        <f aca="false">IFERROR(INDEX(Cat_Productos!$B$2:$B$6,MATCH(G228,Cat_Productos!$A$2:$A$6,0)),"")</f>
        <v>19200</v>
      </c>
      <c r="M228" s="29" t="n">
        <f aca="false">IF(L228="","",H228*L228)</f>
        <v>115200</v>
      </c>
      <c r="N228" s="29" t="n">
        <f aca="false">IF(M228="","",J228-M228)</f>
        <v>28200</v>
      </c>
      <c r="O228" s="30" t="n">
        <f aca="false">IFERROR(N228/J228,0)</f>
        <v>0.196652719665272</v>
      </c>
      <c r="P228" s="27"/>
      <c r="Q228" s="27" t="s">
        <v>151</v>
      </c>
      <c r="R228" s="27" t="s">
        <v>152</v>
      </c>
      <c r="S228" s="27" t="n">
        <v>35</v>
      </c>
      <c r="T228" s="27"/>
    </row>
    <row r="229" customFormat="false" ht="15" hidden="false" customHeight="false" outlineLevel="0" collapsed="false">
      <c r="A229" s="26" t="n">
        <v>46060</v>
      </c>
      <c r="B229" s="27" t="n">
        <v>2026</v>
      </c>
      <c r="C229" s="27" t="n">
        <v>2</v>
      </c>
      <c r="D229" s="27" t="s">
        <v>81</v>
      </c>
      <c r="E229" s="27" t="s">
        <v>93</v>
      </c>
      <c r="F229" s="27" t="s">
        <v>104</v>
      </c>
      <c r="G229" s="27" t="s">
        <v>116</v>
      </c>
      <c r="H229" s="28" t="n">
        <v>4</v>
      </c>
      <c r="I229" s="29" t="n">
        <v>620</v>
      </c>
      <c r="J229" s="29" t="n">
        <v>2480</v>
      </c>
      <c r="K229" s="29" t="n">
        <f aca="false">H229*I229</f>
        <v>2480</v>
      </c>
      <c r="L229" s="29" t="n">
        <f aca="false">IFERROR(INDEX(Cat_Productos!$B$2:$B$6,MATCH(G229,Cat_Productos!$A$2:$A$6,0)),"")</f>
        <v>290</v>
      </c>
      <c r="M229" s="29" t="n">
        <f aca="false">IF(L229="","",H229*L229)</f>
        <v>1160</v>
      </c>
      <c r="N229" s="29" t="n">
        <f aca="false">IF(M229="","",J229-M229)</f>
        <v>1320</v>
      </c>
      <c r="O229" s="30" t="n">
        <f aca="false">IFERROR(N229/J229,0)</f>
        <v>0.532258064516129</v>
      </c>
      <c r="P229" s="27"/>
      <c r="Q229" s="27" t="s">
        <v>151</v>
      </c>
      <c r="R229" s="27" t="s">
        <v>152</v>
      </c>
      <c r="S229" s="27" t="n">
        <v>175</v>
      </c>
      <c r="T229" s="27"/>
    </row>
    <row r="230" customFormat="false" ht="15" hidden="false" customHeight="false" outlineLevel="0" collapsed="false">
      <c r="A230" s="26" t="n">
        <v>46060</v>
      </c>
      <c r="B230" s="27" t="n">
        <v>2026</v>
      </c>
      <c r="C230" s="27" t="n">
        <v>2</v>
      </c>
      <c r="D230" s="27" t="s">
        <v>81</v>
      </c>
      <c r="E230" s="27" t="s">
        <v>91</v>
      </c>
      <c r="F230" s="27" t="s">
        <v>103</v>
      </c>
      <c r="G230" s="27" t="s">
        <v>116</v>
      </c>
      <c r="H230" s="28" t="n">
        <v>6</v>
      </c>
      <c r="I230" s="29" t="n">
        <v>620</v>
      </c>
      <c r="J230" s="29" t="n">
        <v>3720</v>
      </c>
      <c r="K230" s="29" t="n">
        <f aca="false">H230*I230</f>
        <v>3720</v>
      </c>
      <c r="L230" s="29" t="n">
        <f aca="false">IFERROR(INDEX(Cat_Productos!$B$2:$B$6,MATCH(G230,Cat_Productos!$A$2:$A$6,0)),"")</f>
        <v>290</v>
      </c>
      <c r="M230" s="29" t="n">
        <f aca="false">IF(L230="","",H230*L230)</f>
        <v>1740</v>
      </c>
      <c r="N230" s="29" t="n">
        <f aca="false">IF(M230="","",J230-M230)</f>
        <v>1980</v>
      </c>
      <c r="O230" s="30" t="n">
        <f aca="false">IFERROR(N230/J230,0)</f>
        <v>0.532258064516129</v>
      </c>
      <c r="P230" s="27"/>
      <c r="Q230" s="27" t="s">
        <v>151</v>
      </c>
      <c r="R230" s="27" t="s">
        <v>152</v>
      </c>
      <c r="S230" s="27" t="n">
        <v>142</v>
      </c>
      <c r="T230" s="27"/>
    </row>
    <row r="231" customFormat="false" ht="15" hidden="false" customHeight="false" outlineLevel="0" collapsed="false">
      <c r="A231" s="26" t="n">
        <v>46060</v>
      </c>
      <c r="B231" s="27" t="n">
        <v>2026</v>
      </c>
      <c r="C231" s="27" t="n">
        <v>2</v>
      </c>
      <c r="D231" s="27" t="s">
        <v>81</v>
      </c>
      <c r="E231" s="27" t="s">
        <v>93</v>
      </c>
      <c r="F231" s="27" t="s">
        <v>108</v>
      </c>
      <c r="G231" s="27" t="s">
        <v>116</v>
      </c>
      <c r="H231" s="28" t="n">
        <v>4</v>
      </c>
      <c r="I231" s="29" t="n">
        <v>620</v>
      </c>
      <c r="J231" s="29" t="n">
        <v>2480</v>
      </c>
      <c r="K231" s="29" t="n">
        <f aca="false">H231*I231</f>
        <v>2480</v>
      </c>
      <c r="L231" s="29" t="n">
        <f aca="false">IFERROR(INDEX(Cat_Productos!$B$2:$B$6,MATCH(G231,Cat_Productos!$A$2:$A$6,0)),"")</f>
        <v>290</v>
      </c>
      <c r="M231" s="29" t="n">
        <f aca="false">IF(L231="","",H231*L231)</f>
        <v>1160</v>
      </c>
      <c r="N231" s="29" t="n">
        <f aca="false">IF(M231="","",J231-M231)</f>
        <v>1320</v>
      </c>
      <c r="O231" s="30" t="n">
        <f aca="false">IFERROR(N231/J231,0)</f>
        <v>0.532258064516129</v>
      </c>
      <c r="P231" s="27"/>
      <c r="Q231" s="27" t="s">
        <v>151</v>
      </c>
      <c r="R231" s="27" t="s">
        <v>152</v>
      </c>
      <c r="S231" s="27" t="n">
        <v>59</v>
      </c>
      <c r="T231" s="27"/>
    </row>
    <row r="232" customFormat="false" ht="15" hidden="false" customHeight="false" outlineLevel="0" collapsed="false">
      <c r="A232" s="26" t="n">
        <v>46060</v>
      </c>
      <c r="B232" s="27" t="n">
        <v>2026</v>
      </c>
      <c r="C232" s="27" t="n">
        <v>2</v>
      </c>
      <c r="D232" s="27" t="s">
        <v>81</v>
      </c>
      <c r="E232" s="27" t="s">
        <v>91</v>
      </c>
      <c r="F232" s="27" t="s">
        <v>103</v>
      </c>
      <c r="G232" s="27" t="s">
        <v>117</v>
      </c>
      <c r="H232" s="28" t="n">
        <v>6</v>
      </c>
      <c r="I232" s="29" t="n">
        <v>1450</v>
      </c>
      <c r="J232" s="29" t="n">
        <v>8700</v>
      </c>
      <c r="K232" s="29" t="n">
        <f aca="false">H232*I232</f>
        <v>8700</v>
      </c>
      <c r="L232" s="29" t="n">
        <f aca="false">IFERROR(INDEX(Cat_Productos!$B$2:$B$6,MATCH(G232,Cat_Productos!$A$2:$A$6,0)),"")</f>
        <v>780</v>
      </c>
      <c r="M232" s="29" t="n">
        <f aca="false">IF(L232="","",H232*L232)</f>
        <v>4680</v>
      </c>
      <c r="N232" s="29" t="n">
        <f aca="false">IF(M232="","",J232-M232)</f>
        <v>4020</v>
      </c>
      <c r="O232" s="30" t="n">
        <f aca="false">IFERROR(N232/J232,0)</f>
        <v>0.462068965517241</v>
      </c>
      <c r="P232" s="27"/>
      <c r="Q232" s="27" t="s">
        <v>151</v>
      </c>
      <c r="R232" s="27" t="s">
        <v>152</v>
      </c>
      <c r="S232" s="27" t="n">
        <v>132</v>
      </c>
      <c r="T232" s="27"/>
    </row>
    <row r="233" customFormat="false" ht="15" hidden="false" customHeight="false" outlineLevel="0" collapsed="false">
      <c r="A233" s="26" t="n">
        <v>46060</v>
      </c>
      <c r="B233" s="27" t="n">
        <v>2026</v>
      </c>
      <c r="C233" s="27" t="n">
        <v>2</v>
      </c>
      <c r="D233" s="27" t="s">
        <v>81</v>
      </c>
      <c r="E233" s="27" t="s">
        <v>91</v>
      </c>
      <c r="F233" s="27" t="s">
        <v>103</v>
      </c>
      <c r="G233" s="27" t="s">
        <v>116</v>
      </c>
      <c r="H233" s="28" t="n">
        <v>4</v>
      </c>
      <c r="I233" s="29" t="n">
        <v>620</v>
      </c>
      <c r="J233" s="29" t="n">
        <v>2480</v>
      </c>
      <c r="K233" s="29" t="n">
        <f aca="false">H233*I233</f>
        <v>2480</v>
      </c>
      <c r="L233" s="29" t="n">
        <f aca="false">IFERROR(INDEX(Cat_Productos!$B$2:$B$6,MATCH(G233,Cat_Productos!$A$2:$A$6,0)),"")</f>
        <v>290</v>
      </c>
      <c r="M233" s="29" t="n">
        <f aca="false">IF(L233="","",H233*L233)</f>
        <v>1160</v>
      </c>
      <c r="N233" s="29" t="n">
        <f aca="false">IF(M233="","",J233-M233)</f>
        <v>1320</v>
      </c>
      <c r="O233" s="30" t="n">
        <f aca="false">IFERROR(N233/J233,0)</f>
        <v>0.532258064516129</v>
      </c>
      <c r="P233" s="27"/>
      <c r="Q233" s="27" t="s">
        <v>151</v>
      </c>
      <c r="R233" s="27" t="s">
        <v>152</v>
      </c>
      <c r="S233" s="27" t="n">
        <v>146</v>
      </c>
      <c r="T233" s="27"/>
    </row>
    <row r="234" customFormat="false" ht="15" hidden="false" customHeight="false" outlineLevel="0" collapsed="false">
      <c r="A234" s="26" t="n">
        <v>46060</v>
      </c>
      <c r="B234" s="27" t="n">
        <v>2026</v>
      </c>
      <c r="C234" s="27" t="n">
        <v>2</v>
      </c>
      <c r="D234" s="27" t="s">
        <v>81</v>
      </c>
      <c r="E234" s="27" t="s">
        <v>91</v>
      </c>
      <c r="F234" s="27" t="s">
        <v>107</v>
      </c>
      <c r="G234" s="27" t="s">
        <v>114</v>
      </c>
      <c r="H234" s="28" t="n">
        <v>4</v>
      </c>
      <c r="I234" s="29" t="n">
        <v>23900</v>
      </c>
      <c r="J234" s="29" t="n">
        <v>95600</v>
      </c>
      <c r="K234" s="29" t="n">
        <f aca="false">H234*I234</f>
        <v>95600</v>
      </c>
      <c r="L234" s="29" t="n">
        <f aca="false">IFERROR(INDEX(Cat_Productos!$B$2:$B$6,MATCH(G234,Cat_Productos!$A$2:$A$6,0)),"")</f>
        <v>19200</v>
      </c>
      <c r="M234" s="29" t="n">
        <f aca="false">IF(L234="","",H234*L234)</f>
        <v>76800</v>
      </c>
      <c r="N234" s="29" t="n">
        <f aca="false">IF(M234="","",J234-M234)</f>
        <v>18800</v>
      </c>
      <c r="O234" s="30" t="n">
        <f aca="false">IFERROR(N234/J234,0)</f>
        <v>0.196652719665272</v>
      </c>
      <c r="P234" s="27"/>
      <c r="Q234" s="27" t="s">
        <v>151</v>
      </c>
      <c r="R234" s="27" t="s">
        <v>152</v>
      </c>
      <c r="S234" s="27" t="n">
        <v>69</v>
      </c>
      <c r="T234" s="27"/>
    </row>
    <row r="235" customFormat="false" ht="15" hidden="false" customHeight="false" outlineLevel="0" collapsed="false">
      <c r="A235" s="26" t="n">
        <v>46060</v>
      </c>
      <c r="B235" s="27" t="n">
        <v>2026</v>
      </c>
      <c r="C235" s="27" t="n">
        <v>2</v>
      </c>
      <c r="D235" s="27" t="s">
        <v>81</v>
      </c>
      <c r="E235" s="27" t="s">
        <v>91</v>
      </c>
      <c r="F235" s="27" t="s">
        <v>103</v>
      </c>
      <c r="G235" s="27" t="s">
        <v>116</v>
      </c>
      <c r="H235" s="28" t="n">
        <v>4</v>
      </c>
      <c r="I235" s="29" t="n">
        <v>620</v>
      </c>
      <c r="J235" s="29" t="n">
        <v>2480</v>
      </c>
      <c r="K235" s="29" t="n">
        <f aca="false">H235*I235</f>
        <v>2480</v>
      </c>
      <c r="L235" s="29" t="n">
        <f aca="false">IFERROR(INDEX(Cat_Productos!$B$2:$B$6,MATCH(G235,Cat_Productos!$A$2:$A$6,0)),"")</f>
        <v>290</v>
      </c>
      <c r="M235" s="29" t="n">
        <f aca="false">IF(L235="","",H235*L235)</f>
        <v>1160</v>
      </c>
      <c r="N235" s="29" t="n">
        <f aca="false">IF(M235="","",J235-M235)</f>
        <v>1320</v>
      </c>
      <c r="O235" s="30" t="n">
        <f aca="false">IFERROR(N235/J235,0)</f>
        <v>0.532258064516129</v>
      </c>
      <c r="P235" s="27"/>
      <c r="Q235" s="27" t="s">
        <v>151</v>
      </c>
      <c r="R235" s="27" t="s">
        <v>152</v>
      </c>
      <c r="S235" s="27" t="n">
        <v>156</v>
      </c>
      <c r="T235" s="27"/>
    </row>
    <row r="236" customFormat="false" ht="15" hidden="false" customHeight="false" outlineLevel="0" collapsed="false">
      <c r="A236" s="26" t="n">
        <v>46060</v>
      </c>
      <c r="B236" s="27" t="n">
        <v>2026</v>
      </c>
      <c r="C236" s="27" t="n">
        <v>2</v>
      </c>
      <c r="D236" s="27" t="s">
        <v>81</v>
      </c>
      <c r="E236" s="27" t="s">
        <v>93</v>
      </c>
      <c r="F236" s="27" t="s">
        <v>108</v>
      </c>
      <c r="G236" s="27" t="s">
        <v>116</v>
      </c>
      <c r="H236" s="28" t="n">
        <v>2</v>
      </c>
      <c r="I236" s="29" t="n">
        <v>620</v>
      </c>
      <c r="J236" s="29" t="n">
        <v>1240</v>
      </c>
      <c r="K236" s="29" t="n">
        <f aca="false">H236*I236</f>
        <v>1240</v>
      </c>
      <c r="L236" s="29" t="n">
        <f aca="false">IFERROR(INDEX(Cat_Productos!$B$2:$B$6,MATCH(G236,Cat_Productos!$A$2:$A$6,0)),"")</f>
        <v>290</v>
      </c>
      <c r="M236" s="29" t="n">
        <f aca="false">IF(L236="","",H236*L236)</f>
        <v>580</v>
      </c>
      <c r="N236" s="29" t="n">
        <f aca="false">IF(M236="","",J236-M236)</f>
        <v>660</v>
      </c>
      <c r="O236" s="30" t="n">
        <f aca="false">IFERROR(N236/J236,0)</f>
        <v>0.532258064516129</v>
      </c>
      <c r="P236" s="27"/>
      <c r="Q236" s="27" t="s">
        <v>151</v>
      </c>
      <c r="R236" s="27" t="s">
        <v>152</v>
      </c>
      <c r="S236" s="27" t="n">
        <v>67</v>
      </c>
      <c r="T236" s="27"/>
    </row>
    <row r="237" customFormat="false" ht="15" hidden="false" customHeight="false" outlineLevel="0" collapsed="false">
      <c r="A237" s="26" t="n">
        <v>46060</v>
      </c>
      <c r="B237" s="27" t="n">
        <v>2026</v>
      </c>
      <c r="C237" s="27" t="n">
        <v>2</v>
      </c>
      <c r="D237" s="27" t="s">
        <v>81</v>
      </c>
      <c r="E237" s="27" t="s">
        <v>91</v>
      </c>
      <c r="F237" s="27" t="s">
        <v>103</v>
      </c>
      <c r="G237" s="27" t="s">
        <v>117</v>
      </c>
      <c r="H237" s="28" t="n">
        <v>6</v>
      </c>
      <c r="I237" s="29" t="n">
        <v>1450</v>
      </c>
      <c r="J237" s="29" t="n">
        <v>8700</v>
      </c>
      <c r="K237" s="29" t="n">
        <f aca="false">H237*I237</f>
        <v>8700</v>
      </c>
      <c r="L237" s="29" t="n">
        <f aca="false">IFERROR(INDEX(Cat_Productos!$B$2:$B$6,MATCH(G237,Cat_Productos!$A$2:$A$6,0)),"")</f>
        <v>780</v>
      </c>
      <c r="M237" s="29" t="n">
        <f aca="false">IF(L237="","",H237*L237)</f>
        <v>4680</v>
      </c>
      <c r="N237" s="29" t="n">
        <f aca="false">IF(M237="","",J237-M237)</f>
        <v>4020</v>
      </c>
      <c r="O237" s="30" t="n">
        <f aca="false">IFERROR(N237/J237,0)</f>
        <v>0.462068965517241</v>
      </c>
      <c r="P237" s="27"/>
      <c r="Q237" s="27" t="s">
        <v>151</v>
      </c>
      <c r="R237" s="27" t="s">
        <v>152</v>
      </c>
      <c r="S237" s="27" t="n">
        <v>124</v>
      </c>
      <c r="T237" s="27"/>
    </row>
    <row r="238" customFormat="false" ht="15" hidden="false" customHeight="false" outlineLevel="0" collapsed="false">
      <c r="A238" s="26" t="n">
        <v>46060</v>
      </c>
      <c r="B238" s="27" t="n">
        <v>2026</v>
      </c>
      <c r="C238" s="27" t="n">
        <v>2</v>
      </c>
      <c r="D238" s="27" t="s">
        <v>81</v>
      </c>
      <c r="E238" s="27" t="s">
        <v>91</v>
      </c>
      <c r="F238" s="27" t="s">
        <v>107</v>
      </c>
      <c r="G238" s="27" t="s">
        <v>117</v>
      </c>
      <c r="H238" s="28" t="n">
        <v>4</v>
      </c>
      <c r="I238" s="29" t="n">
        <v>1450</v>
      </c>
      <c r="J238" s="29" t="n">
        <v>5800</v>
      </c>
      <c r="K238" s="29" t="n">
        <f aca="false">H238*I238</f>
        <v>5800</v>
      </c>
      <c r="L238" s="29" t="n">
        <f aca="false">IFERROR(INDEX(Cat_Productos!$B$2:$B$6,MATCH(G238,Cat_Productos!$A$2:$A$6,0)),"")</f>
        <v>780</v>
      </c>
      <c r="M238" s="29" t="n">
        <f aca="false">IF(L238="","",H238*L238)</f>
        <v>3120</v>
      </c>
      <c r="N238" s="29" t="n">
        <f aca="false">IF(M238="","",J238-M238)</f>
        <v>2680</v>
      </c>
      <c r="O238" s="30" t="n">
        <f aca="false">IFERROR(N238/J238,0)</f>
        <v>0.462068965517241</v>
      </c>
      <c r="P238" s="27"/>
      <c r="Q238" s="27" t="s">
        <v>151</v>
      </c>
      <c r="R238" s="27" t="s">
        <v>152</v>
      </c>
      <c r="S238" s="27" t="n">
        <v>85</v>
      </c>
      <c r="T238" s="27"/>
    </row>
    <row r="239" customFormat="false" ht="15" hidden="false" customHeight="false" outlineLevel="0" collapsed="false">
      <c r="A239" s="26" t="n">
        <v>46060</v>
      </c>
      <c r="B239" s="27" t="n">
        <v>2026</v>
      </c>
      <c r="C239" s="27" t="n">
        <v>2</v>
      </c>
      <c r="D239" s="27" t="s">
        <v>81</v>
      </c>
      <c r="E239" s="27" t="s">
        <v>93</v>
      </c>
      <c r="F239" s="27" t="s">
        <v>108</v>
      </c>
      <c r="G239" s="27" t="s">
        <v>117</v>
      </c>
      <c r="H239" s="28" t="n">
        <v>4</v>
      </c>
      <c r="I239" s="29" t="n">
        <v>1450</v>
      </c>
      <c r="J239" s="29" t="n">
        <v>5800</v>
      </c>
      <c r="K239" s="29" t="n">
        <f aca="false">H239*I239</f>
        <v>5800</v>
      </c>
      <c r="L239" s="29" t="n">
        <f aca="false">IFERROR(INDEX(Cat_Productos!$B$2:$B$6,MATCH(G239,Cat_Productos!$A$2:$A$6,0)),"")</f>
        <v>780</v>
      </c>
      <c r="M239" s="29" t="n">
        <f aca="false">IF(L239="","",H239*L239)</f>
        <v>3120</v>
      </c>
      <c r="N239" s="29" t="n">
        <f aca="false">IF(M239="","",J239-M239)</f>
        <v>2680</v>
      </c>
      <c r="O239" s="30" t="n">
        <f aca="false">IFERROR(N239/J239,0)</f>
        <v>0.462068965517241</v>
      </c>
      <c r="P239" s="27"/>
      <c r="Q239" s="27" t="s">
        <v>151</v>
      </c>
      <c r="R239" s="27" t="s">
        <v>152</v>
      </c>
      <c r="S239" s="27" t="n">
        <v>47</v>
      </c>
      <c r="T239" s="27"/>
    </row>
    <row r="240" customFormat="false" ht="15" hidden="false" customHeight="false" outlineLevel="0" collapsed="false">
      <c r="A240" s="26" t="n">
        <v>46060</v>
      </c>
      <c r="B240" s="27" t="n">
        <v>2026</v>
      </c>
      <c r="C240" s="27" t="n">
        <v>2</v>
      </c>
      <c r="D240" s="27" t="s">
        <v>81</v>
      </c>
      <c r="E240" s="27" t="s">
        <v>91</v>
      </c>
      <c r="F240" s="27" t="s">
        <v>107</v>
      </c>
      <c r="G240" s="27" t="s">
        <v>116</v>
      </c>
      <c r="H240" s="28" t="n">
        <v>2</v>
      </c>
      <c r="I240" s="29" t="n">
        <v>620</v>
      </c>
      <c r="J240" s="29" t="n">
        <v>1240</v>
      </c>
      <c r="K240" s="29" t="n">
        <f aca="false">H240*I240</f>
        <v>1240</v>
      </c>
      <c r="L240" s="29" t="n">
        <f aca="false">IFERROR(INDEX(Cat_Productos!$B$2:$B$6,MATCH(G240,Cat_Productos!$A$2:$A$6,0)),"")</f>
        <v>290</v>
      </c>
      <c r="M240" s="29" t="n">
        <f aca="false">IF(L240="","",H240*L240)</f>
        <v>580</v>
      </c>
      <c r="N240" s="29" t="n">
        <f aca="false">IF(M240="","",J240-M240)</f>
        <v>660</v>
      </c>
      <c r="O240" s="30" t="n">
        <f aca="false">IFERROR(N240/J240,0)</f>
        <v>0.532258064516129</v>
      </c>
      <c r="P240" s="27"/>
      <c r="Q240" s="27" t="s">
        <v>151</v>
      </c>
      <c r="R240" s="27" t="s">
        <v>152</v>
      </c>
      <c r="S240" s="27" t="n">
        <v>107</v>
      </c>
      <c r="T240" s="27"/>
    </row>
    <row r="241" customFormat="false" ht="15" hidden="false" customHeight="false" outlineLevel="0" collapsed="false">
      <c r="A241" s="26" t="n">
        <v>46060</v>
      </c>
      <c r="B241" s="27" t="n">
        <v>2026</v>
      </c>
      <c r="C241" s="27" t="n">
        <v>2</v>
      </c>
      <c r="D241" s="27" t="s">
        <v>81</v>
      </c>
      <c r="E241" s="27" t="s">
        <v>91</v>
      </c>
      <c r="F241" s="27" t="s">
        <v>103</v>
      </c>
      <c r="G241" s="27" t="s">
        <v>114</v>
      </c>
      <c r="H241" s="28" t="n">
        <v>2</v>
      </c>
      <c r="I241" s="29" t="n">
        <v>23900</v>
      </c>
      <c r="J241" s="29" t="n">
        <v>47800</v>
      </c>
      <c r="K241" s="29" t="n">
        <f aca="false">H241*I241</f>
        <v>47800</v>
      </c>
      <c r="L241" s="29" t="n">
        <f aca="false">IFERROR(INDEX(Cat_Productos!$B$2:$B$6,MATCH(G241,Cat_Productos!$A$2:$A$6,0)),"")</f>
        <v>19200</v>
      </c>
      <c r="M241" s="29" t="n">
        <f aca="false">IF(L241="","",H241*L241)</f>
        <v>38400</v>
      </c>
      <c r="N241" s="29" t="n">
        <f aca="false">IF(M241="","",J241-M241)</f>
        <v>9400</v>
      </c>
      <c r="O241" s="30" t="n">
        <f aca="false">IFERROR(N241/J241,0)</f>
        <v>0.196652719665272</v>
      </c>
      <c r="P241" s="27"/>
      <c r="Q241" s="27" t="s">
        <v>151</v>
      </c>
      <c r="R241" s="27" t="s">
        <v>152</v>
      </c>
      <c r="S241" s="27" t="n">
        <v>110</v>
      </c>
      <c r="T241" s="27"/>
    </row>
    <row r="242" customFormat="false" ht="15" hidden="false" customHeight="false" outlineLevel="0" collapsed="false">
      <c r="A242" s="26" t="n">
        <v>46061</v>
      </c>
      <c r="B242" s="27" t="n">
        <v>2026</v>
      </c>
      <c r="C242" s="27" t="n">
        <v>2</v>
      </c>
      <c r="D242" s="27" t="s">
        <v>81</v>
      </c>
      <c r="E242" s="27" t="s">
        <v>93</v>
      </c>
      <c r="F242" s="27" t="s">
        <v>105</v>
      </c>
      <c r="G242" s="27" t="s">
        <v>118</v>
      </c>
      <c r="H242" s="28" t="n">
        <v>5</v>
      </c>
      <c r="I242" s="29" t="n">
        <v>1180</v>
      </c>
      <c r="J242" s="29" t="n">
        <v>5900</v>
      </c>
      <c r="K242" s="29" t="n">
        <f aca="false">H242*I242</f>
        <v>5900</v>
      </c>
      <c r="L242" s="29" t="n">
        <f aca="false">IFERROR(INDEX(Cat_Productos!$B$2:$B$6,MATCH(G242,Cat_Productos!$A$2:$A$6,0)),"")</f>
        <v>590</v>
      </c>
      <c r="M242" s="29" t="n">
        <f aca="false">IF(L242="","",H242*L242)</f>
        <v>2950</v>
      </c>
      <c r="N242" s="29" t="n">
        <f aca="false">IF(M242="","",J242-M242)</f>
        <v>2950</v>
      </c>
      <c r="O242" s="30" t="n">
        <f aca="false">IFERROR(N242/J242,0)</f>
        <v>0.5</v>
      </c>
      <c r="P242" s="27"/>
      <c r="Q242" s="27" t="s">
        <v>151</v>
      </c>
      <c r="R242" s="27" t="s">
        <v>152</v>
      </c>
      <c r="S242" s="27" t="n">
        <v>33</v>
      </c>
      <c r="T242" s="27"/>
    </row>
    <row r="243" customFormat="false" ht="15" hidden="false" customHeight="false" outlineLevel="0" collapsed="false">
      <c r="A243" s="26" t="n">
        <v>46061</v>
      </c>
      <c r="B243" s="27" t="n">
        <v>2026</v>
      </c>
      <c r="C243" s="27" t="n">
        <v>2</v>
      </c>
      <c r="D243" s="27" t="s">
        <v>81</v>
      </c>
      <c r="E243" s="27" t="s">
        <v>92</v>
      </c>
      <c r="F243" s="27" t="s">
        <v>105</v>
      </c>
      <c r="G243" s="27" t="s">
        <v>115</v>
      </c>
      <c r="H243" s="28" t="n">
        <v>3</v>
      </c>
      <c r="I243" s="29" t="n">
        <v>5900</v>
      </c>
      <c r="J243" s="29" t="n">
        <v>17700</v>
      </c>
      <c r="K243" s="29" t="n">
        <f aca="false">H243*I243</f>
        <v>17700</v>
      </c>
      <c r="L243" s="29" t="n">
        <f aca="false">IFERROR(INDEX(Cat_Productos!$B$2:$B$6,MATCH(G243,Cat_Productos!$A$2:$A$6,0)),"")</f>
        <v>4100</v>
      </c>
      <c r="M243" s="29" t="n">
        <f aca="false">IF(L243="","",H243*L243)</f>
        <v>12300</v>
      </c>
      <c r="N243" s="29" t="n">
        <f aca="false">IF(M243="","",J243-M243)</f>
        <v>5400</v>
      </c>
      <c r="O243" s="30" t="n">
        <f aca="false">IFERROR(N243/J243,0)</f>
        <v>0.305084745762712</v>
      </c>
      <c r="P243" s="27"/>
      <c r="Q243" s="27" t="s">
        <v>151</v>
      </c>
      <c r="R243" s="27" t="s">
        <v>152</v>
      </c>
      <c r="S243" s="27" t="n">
        <v>13</v>
      </c>
      <c r="T243" s="27"/>
    </row>
    <row r="244" customFormat="false" ht="15" hidden="false" customHeight="false" outlineLevel="0" collapsed="false">
      <c r="A244" s="26" t="n">
        <v>46061</v>
      </c>
      <c r="B244" s="27" t="n">
        <v>2026</v>
      </c>
      <c r="C244" s="27" t="n">
        <v>2</v>
      </c>
      <c r="D244" s="27" t="s">
        <v>81</v>
      </c>
      <c r="E244" s="27" t="s">
        <v>92</v>
      </c>
      <c r="F244" s="27" t="s">
        <v>105</v>
      </c>
      <c r="G244" s="27" t="s">
        <v>118</v>
      </c>
      <c r="H244" s="28" t="n">
        <v>3</v>
      </c>
      <c r="I244" s="29" t="n">
        <v>1180</v>
      </c>
      <c r="J244" s="29" t="n">
        <v>3540</v>
      </c>
      <c r="K244" s="29" t="n">
        <f aca="false">H244*I244</f>
        <v>3540</v>
      </c>
      <c r="L244" s="29" t="n">
        <f aca="false">IFERROR(INDEX(Cat_Productos!$B$2:$B$6,MATCH(G244,Cat_Productos!$A$2:$A$6,0)),"")</f>
        <v>590</v>
      </c>
      <c r="M244" s="29" t="n">
        <f aca="false">IF(L244="","",H244*L244)</f>
        <v>1770</v>
      </c>
      <c r="N244" s="29" t="n">
        <f aca="false">IF(M244="","",J244-M244)</f>
        <v>1770</v>
      </c>
      <c r="O244" s="30" t="n">
        <f aca="false">IFERROR(N244/J244,0)</f>
        <v>0.5</v>
      </c>
      <c r="P244" s="27"/>
      <c r="Q244" s="27" t="s">
        <v>151</v>
      </c>
      <c r="R244" s="27" t="s">
        <v>152</v>
      </c>
      <c r="S244" s="27" t="n">
        <v>23</v>
      </c>
      <c r="T244" s="27"/>
    </row>
    <row r="245" customFormat="false" ht="15" hidden="false" customHeight="false" outlineLevel="0" collapsed="false">
      <c r="A245" s="26" t="n">
        <v>46061</v>
      </c>
      <c r="B245" s="27" t="n">
        <v>2026</v>
      </c>
      <c r="C245" s="27" t="n">
        <v>2</v>
      </c>
      <c r="D245" s="27" t="s">
        <v>81</v>
      </c>
      <c r="E245" s="27" t="s">
        <v>92</v>
      </c>
      <c r="F245" s="27" t="s">
        <v>105</v>
      </c>
      <c r="G245" s="27" t="s">
        <v>118</v>
      </c>
      <c r="H245" s="28" t="n">
        <v>1</v>
      </c>
      <c r="I245" s="29" t="n">
        <v>1180</v>
      </c>
      <c r="J245" s="29" t="n">
        <v>1180</v>
      </c>
      <c r="K245" s="29" t="n">
        <f aca="false">H245*I245</f>
        <v>1180</v>
      </c>
      <c r="L245" s="29" t="n">
        <f aca="false">IFERROR(INDEX(Cat_Productos!$B$2:$B$6,MATCH(G245,Cat_Productos!$A$2:$A$6,0)),"")</f>
        <v>590</v>
      </c>
      <c r="M245" s="29" t="n">
        <f aca="false">IF(L245="","",H245*L245)</f>
        <v>590</v>
      </c>
      <c r="N245" s="29" t="n">
        <f aca="false">IF(M245="","",J245-M245)</f>
        <v>590</v>
      </c>
      <c r="O245" s="30" t="n">
        <f aca="false">IFERROR(N245/J245,0)</f>
        <v>0.5</v>
      </c>
      <c r="P245" s="27"/>
      <c r="Q245" s="27" t="s">
        <v>151</v>
      </c>
      <c r="R245" s="27" t="s">
        <v>152</v>
      </c>
      <c r="S245" s="27" t="n">
        <v>19</v>
      </c>
      <c r="T245" s="27"/>
    </row>
    <row r="246" customFormat="false" ht="15" hidden="false" customHeight="false" outlineLevel="0" collapsed="false">
      <c r="A246" s="26" t="n">
        <v>46062</v>
      </c>
      <c r="B246" s="27" t="n">
        <v>2026</v>
      </c>
      <c r="C246" s="27" t="n">
        <v>2</v>
      </c>
      <c r="D246" s="27" t="s">
        <v>81</v>
      </c>
      <c r="E246" s="27" t="s">
        <v>93</v>
      </c>
      <c r="F246" s="27" t="s">
        <v>108</v>
      </c>
      <c r="G246" s="27" t="s">
        <v>117</v>
      </c>
      <c r="H246" s="28" t="n">
        <v>6</v>
      </c>
      <c r="I246" s="29" t="n">
        <v>1450</v>
      </c>
      <c r="J246" s="29" t="n">
        <v>8700</v>
      </c>
      <c r="K246" s="29" t="n">
        <f aca="false">H246*I246</f>
        <v>8700</v>
      </c>
      <c r="L246" s="29" t="n">
        <f aca="false">IFERROR(INDEX(Cat_Productos!$B$2:$B$6,MATCH(G246,Cat_Productos!$A$2:$A$6,0)),"")</f>
        <v>780</v>
      </c>
      <c r="M246" s="29" t="n">
        <f aca="false">IF(L246="","",H246*L246)</f>
        <v>4680</v>
      </c>
      <c r="N246" s="29" t="n">
        <f aca="false">IF(M246="","",J246-M246)</f>
        <v>4020</v>
      </c>
      <c r="O246" s="30" t="n">
        <f aca="false">IFERROR(N246/J246,0)</f>
        <v>0.462068965517241</v>
      </c>
      <c r="P246" s="27"/>
      <c r="Q246" s="27" t="s">
        <v>151</v>
      </c>
      <c r="R246" s="27" t="s">
        <v>152</v>
      </c>
      <c r="S246" s="27" t="n">
        <v>44</v>
      </c>
      <c r="T246" s="27"/>
    </row>
    <row r="247" customFormat="false" ht="15" hidden="false" customHeight="false" outlineLevel="0" collapsed="false">
      <c r="A247" s="26" t="n">
        <v>46062</v>
      </c>
      <c r="B247" s="27" t="n">
        <v>2026</v>
      </c>
      <c r="C247" s="27" t="n">
        <v>2</v>
      </c>
      <c r="D247" s="27" t="s">
        <v>81</v>
      </c>
      <c r="E247" s="27" t="s">
        <v>93</v>
      </c>
      <c r="F247" s="27" t="s">
        <v>104</v>
      </c>
      <c r="G247" s="27" t="s">
        <v>114</v>
      </c>
      <c r="H247" s="28" t="n">
        <v>2</v>
      </c>
      <c r="I247" s="29" t="n">
        <v>23900</v>
      </c>
      <c r="J247" s="29" t="n">
        <v>47800</v>
      </c>
      <c r="K247" s="29" t="n">
        <f aca="false">H247*I247</f>
        <v>47800</v>
      </c>
      <c r="L247" s="29" t="n">
        <f aca="false">IFERROR(INDEX(Cat_Productos!$B$2:$B$6,MATCH(G247,Cat_Productos!$A$2:$A$6,0)),"")</f>
        <v>19200</v>
      </c>
      <c r="M247" s="29" t="n">
        <f aca="false">IF(L247="","",H247*L247)</f>
        <v>38400</v>
      </c>
      <c r="N247" s="29" t="n">
        <f aca="false">IF(M247="","",J247-M247)</f>
        <v>9400</v>
      </c>
      <c r="O247" s="30" t="n">
        <f aca="false">IFERROR(N247/J247,0)</f>
        <v>0.196652719665272</v>
      </c>
      <c r="P247" s="27"/>
      <c r="Q247" s="27" t="s">
        <v>151</v>
      </c>
      <c r="R247" s="27" t="s">
        <v>152</v>
      </c>
      <c r="S247" s="27" t="n">
        <v>160</v>
      </c>
      <c r="T247" s="27"/>
    </row>
    <row r="248" customFormat="false" ht="15" hidden="false" customHeight="false" outlineLevel="0" collapsed="false">
      <c r="A248" s="26" t="n">
        <v>46062</v>
      </c>
      <c r="B248" s="27" t="n">
        <v>2026</v>
      </c>
      <c r="C248" s="27" t="n">
        <v>2</v>
      </c>
      <c r="D248" s="27" t="s">
        <v>81</v>
      </c>
      <c r="E248" s="27" t="s">
        <v>91</v>
      </c>
      <c r="F248" s="27" t="s">
        <v>103</v>
      </c>
      <c r="G248" s="27" t="s">
        <v>117</v>
      </c>
      <c r="H248" s="28" t="n">
        <v>4</v>
      </c>
      <c r="I248" s="29" t="n">
        <v>1450</v>
      </c>
      <c r="J248" s="29" t="n">
        <v>5800</v>
      </c>
      <c r="K248" s="29" t="n">
        <f aca="false">H248*I248</f>
        <v>5800</v>
      </c>
      <c r="L248" s="29" t="n">
        <f aca="false">IFERROR(INDEX(Cat_Productos!$B$2:$B$6,MATCH(G248,Cat_Productos!$A$2:$A$6,0)),"")</f>
        <v>780</v>
      </c>
      <c r="M248" s="29" t="n">
        <f aca="false">IF(L248="","",H248*L248)</f>
        <v>3120</v>
      </c>
      <c r="N248" s="29" t="n">
        <f aca="false">IF(M248="","",J248-M248)</f>
        <v>2680</v>
      </c>
      <c r="O248" s="30" t="n">
        <f aca="false">IFERROR(N248/J248,0)</f>
        <v>0.462068965517241</v>
      </c>
      <c r="P248" s="27"/>
      <c r="Q248" s="27" t="s">
        <v>151</v>
      </c>
      <c r="R248" s="27" t="s">
        <v>152</v>
      </c>
      <c r="S248" s="27" t="n">
        <v>129</v>
      </c>
      <c r="T248" s="27"/>
    </row>
    <row r="249" customFormat="false" ht="15" hidden="false" customHeight="false" outlineLevel="0" collapsed="false">
      <c r="A249" s="26" t="n">
        <v>46062</v>
      </c>
      <c r="B249" s="27" t="n">
        <v>2026</v>
      </c>
      <c r="C249" s="27" t="n">
        <v>2</v>
      </c>
      <c r="D249" s="27" t="s">
        <v>81</v>
      </c>
      <c r="E249" s="27" t="s">
        <v>91</v>
      </c>
      <c r="F249" s="27" t="s">
        <v>107</v>
      </c>
      <c r="G249" s="27" t="s">
        <v>117</v>
      </c>
      <c r="H249" s="28" t="n">
        <v>4</v>
      </c>
      <c r="I249" s="29" t="n">
        <v>1450</v>
      </c>
      <c r="J249" s="29" t="n">
        <v>5800</v>
      </c>
      <c r="K249" s="29" t="n">
        <f aca="false">H249*I249</f>
        <v>5800</v>
      </c>
      <c r="L249" s="29" t="n">
        <f aca="false">IFERROR(INDEX(Cat_Productos!$B$2:$B$6,MATCH(G249,Cat_Productos!$A$2:$A$6,0)),"")</f>
        <v>780</v>
      </c>
      <c r="M249" s="29" t="n">
        <f aca="false">IF(L249="","",H249*L249)</f>
        <v>3120</v>
      </c>
      <c r="N249" s="29" t="n">
        <f aca="false">IF(M249="","",J249-M249)</f>
        <v>2680</v>
      </c>
      <c r="O249" s="30" t="n">
        <f aca="false">IFERROR(N249/J249,0)</f>
        <v>0.462068965517241</v>
      </c>
      <c r="P249" s="27"/>
      <c r="Q249" s="27" t="s">
        <v>151</v>
      </c>
      <c r="R249" s="27" t="s">
        <v>152</v>
      </c>
      <c r="S249" s="27" t="n">
        <v>80</v>
      </c>
      <c r="T249" s="27"/>
    </row>
    <row r="250" customFormat="false" ht="15" hidden="false" customHeight="false" outlineLevel="0" collapsed="false">
      <c r="A250" s="26" t="n">
        <v>46062</v>
      </c>
      <c r="B250" s="27" t="n">
        <v>2026</v>
      </c>
      <c r="C250" s="27" t="n">
        <v>2</v>
      </c>
      <c r="D250" s="27" t="s">
        <v>81</v>
      </c>
      <c r="E250" s="27" t="s">
        <v>91</v>
      </c>
      <c r="F250" s="27" t="s">
        <v>107</v>
      </c>
      <c r="G250" s="27" t="s">
        <v>116</v>
      </c>
      <c r="H250" s="28" t="n">
        <v>2</v>
      </c>
      <c r="I250" s="29" t="n">
        <v>620</v>
      </c>
      <c r="J250" s="29" t="n">
        <v>1240</v>
      </c>
      <c r="K250" s="29" t="n">
        <f aca="false">H250*I250</f>
        <v>1240</v>
      </c>
      <c r="L250" s="29" t="n">
        <f aca="false">IFERROR(INDEX(Cat_Productos!$B$2:$B$6,MATCH(G250,Cat_Productos!$A$2:$A$6,0)),"")</f>
        <v>290</v>
      </c>
      <c r="M250" s="29" t="n">
        <f aca="false">IF(L250="","",H250*L250)</f>
        <v>580</v>
      </c>
      <c r="N250" s="29" t="n">
        <f aca="false">IF(M250="","",J250-M250)</f>
        <v>660</v>
      </c>
      <c r="O250" s="30" t="n">
        <f aca="false">IFERROR(N250/J250,0)</f>
        <v>0.532258064516129</v>
      </c>
      <c r="P250" s="27"/>
      <c r="Q250" s="27" t="s">
        <v>151</v>
      </c>
      <c r="R250" s="27" t="s">
        <v>152</v>
      </c>
      <c r="S250" s="27" t="n">
        <v>108</v>
      </c>
      <c r="T250" s="27"/>
    </row>
    <row r="251" customFormat="false" ht="15" hidden="false" customHeight="false" outlineLevel="0" collapsed="false">
      <c r="A251" s="26" t="n">
        <v>46062</v>
      </c>
      <c r="B251" s="27" t="n">
        <v>2026</v>
      </c>
      <c r="C251" s="27" t="n">
        <v>2</v>
      </c>
      <c r="D251" s="27" t="s">
        <v>81</v>
      </c>
      <c r="E251" s="27" t="s">
        <v>93</v>
      </c>
      <c r="F251" s="27" t="s">
        <v>104</v>
      </c>
      <c r="G251" s="27" t="s">
        <v>116</v>
      </c>
      <c r="H251" s="28" t="n">
        <v>4</v>
      </c>
      <c r="I251" s="29" t="n">
        <v>620</v>
      </c>
      <c r="J251" s="29" t="n">
        <v>2480</v>
      </c>
      <c r="K251" s="29" t="n">
        <f aca="false">H251*I251</f>
        <v>2480</v>
      </c>
      <c r="L251" s="29" t="n">
        <f aca="false">IFERROR(INDEX(Cat_Productos!$B$2:$B$6,MATCH(G251,Cat_Productos!$A$2:$A$6,0)),"")</f>
        <v>290</v>
      </c>
      <c r="M251" s="29" t="n">
        <f aca="false">IF(L251="","",H251*L251)</f>
        <v>1160</v>
      </c>
      <c r="N251" s="29" t="n">
        <f aca="false">IF(M251="","",J251-M251)</f>
        <v>1320</v>
      </c>
      <c r="O251" s="30" t="n">
        <f aca="false">IFERROR(N251/J251,0)</f>
        <v>0.532258064516129</v>
      </c>
      <c r="P251" s="27"/>
      <c r="Q251" s="27" t="s">
        <v>151</v>
      </c>
      <c r="R251" s="27" t="s">
        <v>152</v>
      </c>
      <c r="S251" s="27" t="n">
        <v>178</v>
      </c>
      <c r="T251" s="27"/>
    </row>
    <row r="252" customFormat="false" ht="15" hidden="false" customHeight="false" outlineLevel="0" collapsed="false">
      <c r="A252" s="26" t="n">
        <v>46062</v>
      </c>
      <c r="B252" s="27" t="n">
        <v>2026</v>
      </c>
      <c r="C252" s="27" t="n">
        <v>2</v>
      </c>
      <c r="D252" s="27" t="s">
        <v>81</v>
      </c>
      <c r="E252" s="27" t="s">
        <v>93</v>
      </c>
      <c r="F252" s="27" t="s">
        <v>104</v>
      </c>
      <c r="G252" s="27" t="s">
        <v>117</v>
      </c>
      <c r="H252" s="28" t="n">
        <v>6</v>
      </c>
      <c r="I252" s="29" t="n">
        <v>1450</v>
      </c>
      <c r="J252" s="29" t="n">
        <v>8700</v>
      </c>
      <c r="K252" s="29" t="n">
        <f aca="false">H252*I252</f>
        <v>8700</v>
      </c>
      <c r="L252" s="29" t="n">
        <f aca="false">IFERROR(INDEX(Cat_Productos!$B$2:$B$6,MATCH(G252,Cat_Productos!$A$2:$A$6,0)),"")</f>
        <v>780</v>
      </c>
      <c r="M252" s="29" t="n">
        <f aca="false">IF(L252="","",H252*L252)</f>
        <v>4680</v>
      </c>
      <c r="N252" s="29" t="n">
        <f aca="false">IF(M252="","",J252-M252)</f>
        <v>4020</v>
      </c>
      <c r="O252" s="30" t="n">
        <f aca="false">IFERROR(N252/J252,0)</f>
        <v>0.462068965517241</v>
      </c>
      <c r="P252" s="27"/>
      <c r="Q252" s="27" t="s">
        <v>151</v>
      </c>
      <c r="R252" s="27" t="s">
        <v>152</v>
      </c>
      <c r="S252" s="27" t="n">
        <v>168</v>
      </c>
      <c r="T252" s="27"/>
    </row>
    <row r="253" customFormat="false" ht="15" hidden="false" customHeight="false" outlineLevel="0" collapsed="false">
      <c r="A253" s="26" t="n">
        <v>46062</v>
      </c>
      <c r="B253" s="27" t="n">
        <v>2026</v>
      </c>
      <c r="C253" s="27" t="n">
        <v>2</v>
      </c>
      <c r="D253" s="27" t="s">
        <v>81</v>
      </c>
      <c r="E253" s="27" t="s">
        <v>93</v>
      </c>
      <c r="F253" s="27" t="s">
        <v>108</v>
      </c>
      <c r="G253" s="27" t="s">
        <v>114</v>
      </c>
      <c r="H253" s="28" t="n">
        <v>2</v>
      </c>
      <c r="I253" s="29" t="n">
        <v>23900</v>
      </c>
      <c r="J253" s="29" t="n">
        <v>47800</v>
      </c>
      <c r="K253" s="29" t="n">
        <f aca="false">H253*I253</f>
        <v>47800</v>
      </c>
      <c r="L253" s="29" t="n">
        <f aca="false">IFERROR(INDEX(Cat_Productos!$B$2:$B$6,MATCH(G253,Cat_Productos!$A$2:$A$6,0)),"")</f>
        <v>19200</v>
      </c>
      <c r="M253" s="29" t="n">
        <f aca="false">IF(L253="","",H253*L253)</f>
        <v>38400</v>
      </c>
      <c r="N253" s="29" t="n">
        <f aca="false">IF(M253="","",J253-M253)</f>
        <v>9400</v>
      </c>
      <c r="O253" s="30" t="n">
        <f aca="false">IFERROR(N253/J253,0)</f>
        <v>0.196652719665272</v>
      </c>
      <c r="P253" s="27"/>
      <c r="Q253" s="27" t="s">
        <v>151</v>
      </c>
      <c r="R253" s="27" t="s">
        <v>152</v>
      </c>
      <c r="S253" s="27" t="n">
        <v>34</v>
      </c>
      <c r="T253" s="27"/>
    </row>
    <row r="254" customFormat="false" ht="15" hidden="false" customHeight="false" outlineLevel="0" collapsed="false">
      <c r="A254" s="26" t="n">
        <v>46063</v>
      </c>
      <c r="B254" s="27" t="n">
        <v>2026</v>
      </c>
      <c r="C254" s="27" t="n">
        <v>2</v>
      </c>
      <c r="D254" s="27" t="s">
        <v>81</v>
      </c>
      <c r="E254" s="27" t="s">
        <v>92</v>
      </c>
      <c r="F254" s="27" t="s">
        <v>105</v>
      </c>
      <c r="G254" s="27" t="s">
        <v>118</v>
      </c>
      <c r="H254" s="28" t="n">
        <v>1</v>
      </c>
      <c r="I254" s="29" t="n">
        <v>1180</v>
      </c>
      <c r="J254" s="29" t="n">
        <v>1180</v>
      </c>
      <c r="K254" s="29" t="n">
        <f aca="false">H254*I254</f>
        <v>1180</v>
      </c>
      <c r="L254" s="29" t="n">
        <f aca="false">IFERROR(INDEX(Cat_Productos!$B$2:$B$6,MATCH(G254,Cat_Productos!$A$2:$A$6,0)),"")</f>
        <v>590</v>
      </c>
      <c r="M254" s="29" t="n">
        <f aca="false">IF(L254="","",H254*L254)</f>
        <v>590</v>
      </c>
      <c r="N254" s="29" t="n">
        <f aca="false">IF(M254="","",J254-M254)</f>
        <v>590</v>
      </c>
      <c r="O254" s="30" t="n">
        <f aca="false">IFERROR(N254/J254,0)</f>
        <v>0.5</v>
      </c>
      <c r="P254" s="27"/>
      <c r="Q254" s="27" t="s">
        <v>151</v>
      </c>
      <c r="R254" s="27" t="s">
        <v>152</v>
      </c>
      <c r="S254" s="27" t="n">
        <v>22</v>
      </c>
      <c r="T254" s="27"/>
    </row>
    <row r="255" customFormat="false" ht="15" hidden="false" customHeight="false" outlineLevel="0" collapsed="false">
      <c r="A255" s="26" t="n">
        <v>46064</v>
      </c>
      <c r="B255" s="27" t="n">
        <v>2026</v>
      </c>
      <c r="C255" s="27" t="n">
        <v>2</v>
      </c>
      <c r="D255" s="27" t="s">
        <v>81</v>
      </c>
      <c r="E255" s="27" t="s">
        <v>91</v>
      </c>
      <c r="F255" s="27" t="s">
        <v>103</v>
      </c>
      <c r="G255" s="27" t="s">
        <v>114</v>
      </c>
      <c r="H255" s="28" t="n">
        <v>6</v>
      </c>
      <c r="I255" s="29" t="n">
        <v>23900</v>
      </c>
      <c r="J255" s="29" t="n">
        <v>143400</v>
      </c>
      <c r="K255" s="29" t="n">
        <f aca="false">H255*I255</f>
        <v>143400</v>
      </c>
      <c r="L255" s="29" t="n">
        <f aca="false">IFERROR(INDEX(Cat_Productos!$B$2:$B$6,MATCH(G255,Cat_Productos!$A$2:$A$6,0)),"")</f>
        <v>19200</v>
      </c>
      <c r="M255" s="29" t="n">
        <f aca="false">IF(L255="","",H255*L255)</f>
        <v>115200</v>
      </c>
      <c r="N255" s="29" t="n">
        <f aca="false">IF(M255="","",J255-M255)</f>
        <v>28200</v>
      </c>
      <c r="O255" s="30" t="n">
        <f aca="false">IFERROR(N255/J255,0)</f>
        <v>0.196652719665272</v>
      </c>
      <c r="P255" s="27"/>
      <c r="Q255" s="27" t="s">
        <v>151</v>
      </c>
      <c r="R255" s="27" t="s">
        <v>152</v>
      </c>
      <c r="S255" s="27" t="n">
        <v>112</v>
      </c>
      <c r="T255" s="27"/>
    </row>
    <row r="256" customFormat="false" ht="15" hidden="false" customHeight="false" outlineLevel="0" collapsed="false">
      <c r="A256" s="26" t="n">
        <v>46064</v>
      </c>
      <c r="B256" s="27" t="n">
        <v>2026</v>
      </c>
      <c r="C256" s="27" t="n">
        <v>2</v>
      </c>
      <c r="D256" s="27" t="s">
        <v>81</v>
      </c>
      <c r="E256" s="27" t="s">
        <v>91</v>
      </c>
      <c r="F256" s="27" t="s">
        <v>107</v>
      </c>
      <c r="G256" s="27" t="s">
        <v>116</v>
      </c>
      <c r="H256" s="28" t="n">
        <v>2</v>
      </c>
      <c r="I256" s="29" t="n">
        <v>620</v>
      </c>
      <c r="J256" s="29" t="n">
        <v>1240</v>
      </c>
      <c r="K256" s="29" t="n">
        <f aca="false">H256*I256</f>
        <v>1240</v>
      </c>
      <c r="L256" s="29" t="n">
        <f aca="false">IFERROR(INDEX(Cat_Productos!$B$2:$B$6,MATCH(G256,Cat_Productos!$A$2:$A$6,0)),"")</f>
        <v>290</v>
      </c>
      <c r="M256" s="29" t="n">
        <f aca="false">IF(L256="","",H256*L256)</f>
        <v>580</v>
      </c>
      <c r="N256" s="29" t="n">
        <f aca="false">IF(M256="","",J256-M256)</f>
        <v>660</v>
      </c>
      <c r="O256" s="30" t="n">
        <f aca="false">IFERROR(N256/J256,0)</f>
        <v>0.532258064516129</v>
      </c>
      <c r="P256" s="27"/>
      <c r="Q256" s="27" t="s">
        <v>151</v>
      </c>
      <c r="R256" s="27" t="s">
        <v>152</v>
      </c>
      <c r="S256" s="27" t="n">
        <v>101</v>
      </c>
      <c r="T256" s="27"/>
    </row>
    <row r="257" customFormat="false" ht="15" hidden="false" customHeight="false" outlineLevel="0" collapsed="false">
      <c r="A257" s="26" t="n">
        <v>46064</v>
      </c>
      <c r="B257" s="27" t="n">
        <v>2026</v>
      </c>
      <c r="C257" s="27" t="n">
        <v>2</v>
      </c>
      <c r="D257" s="27" t="s">
        <v>81</v>
      </c>
      <c r="E257" s="27" t="s">
        <v>91</v>
      </c>
      <c r="F257" s="27" t="s">
        <v>107</v>
      </c>
      <c r="G257" s="27" t="s">
        <v>116</v>
      </c>
      <c r="H257" s="28" t="n">
        <v>2</v>
      </c>
      <c r="I257" s="29" t="n">
        <v>620</v>
      </c>
      <c r="J257" s="29" t="n">
        <v>1240</v>
      </c>
      <c r="K257" s="29" t="n">
        <f aca="false">H257*I257</f>
        <v>1240</v>
      </c>
      <c r="L257" s="29" t="n">
        <f aca="false">IFERROR(INDEX(Cat_Productos!$B$2:$B$6,MATCH(G257,Cat_Productos!$A$2:$A$6,0)),"")</f>
        <v>290</v>
      </c>
      <c r="M257" s="29" t="n">
        <f aca="false">IF(L257="","",H257*L257)</f>
        <v>580</v>
      </c>
      <c r="N257" s="29" t="n">
        <f aca="false">IF(M257="","",J257-M257)</f>
        <v>660</v>
      </c>
      <c r="O257" s="30" t="n">
        <f aca="false">IFERROR(N257/J257,0)</f>
        <v>0.532258064516129</v>
      </c>
      <c r="P257" s="27"/>
      <c r="Q257" s="27" t="s">
        <v>151</v>
      </c>
      <c r="R257" s="27" t="s">
        <v>152</v>
      </c>
      <c r="S257" s="27" t="n">
        <v>105</v>
      </c>
      <c r="T257" s="27"/>
    </row>
    <row r="258" customFormat="false" ht="15" hidden="false" customHeight="false" outlineLevel="0" collapsed="false">
      <c r="A258" s="26" t="n">
        <v>46064</v>
      </c>
      <c r="B258" s="27" t="n">
        <v>2026</v>
      </c>
      <c r="C258" s="27" t="n">
        <v>2</v>
      </c>
      <c r="D258" s="27" t="s">
        <v>81</v>
      </c>
      <c r="E258" s="27" t="s">
        <v>91</v>
      </c>
      <c r="F258" s="27" t="s">
        <v>103</v>
      </c>
      <c r="G258" s="27" t="s">
        <v>117</v>
      </c>
      <c r="H258" s="28" t="n">
        <v>4</v>
      </c>
      <c r="I258" s="29" t="n">
        <v>1450</v>
      </c>
      <c r="J258" s="29" t="n">
        <v>5800</v>
      </c>
      <c r="K258" s="29" t="n">
        <f aca="false">H258*I258</f>
        <v>5800</v>
      </c>
      <c r="L258" s="29" t="n">
        <f aca="false">IFERROR(INDEX(Cat_Productos!$B$2:$B$6,MATCH(G258,Cat_Productos!$A$2:$A$6,0)),"")</f>
        <v>780</v>
      </c>
      <c r="M258" s="29" t="n">
        <f aca="false">IF(L258="","",H258*L258)</f>
        <v>3120</v>
      </c>
      <c r="N258" s="29" t="n">
        <f aca="false">IF(M258="","",J258-M258)</f>
        <v>2680</v>
      </c>
      <c r="O258" s="30" t="n">
        <f aca="false">IFERROR(N258/J258,0)</f>
        <v>0.462068965517241</v>
      </c>
      <c r="P258" s="27"/>
      <c r="Q258" s="27" t="s">
        <v>151</v>
      </c>
      <c r="R258" s="27" t="s">
        <v>152</v>
      </c>
      <c r="S258" s="27" t="n">
        <v>120</v>
      </c>
      <c r="T258" s="27"/>
    </row>
    <row r="259" customFormat="false" ht="15" hidden="false" customHeight="false" outlineLevel="0" collapsed="false">
      <c r="A259" s="26" t="n">
        <v>46064</v>
      </c>
      <c r="B259" s="27" t="n">
        <v>2026</v>
      </c>
      <c r="C259" s="27" t="n">
        <v>2</v>
      </c>
      <c r="D259" s="27" t="s">
        <v>81</v>
      </c>
      <c r="E259" s="27" t="s">
        <v>91</v>
      </c>
      <c r="F259" s="27" t="s">
        <v>107</v>
      </c>
      <c r="G259" s="27" t="s">
        <v>116</v>
      </c>
      <c r="H259" s="28" t="n">
        <v>5</v>
      </c>
      <c r="I259" s="29" t="n">
        <v>620</v>
      </c>
      <c r="J259" s="29" t="n">
        <v>3100</v>
      </c>
      <c r="K259" s="29" t="n">
        <f aca="false">H259*I259</f>
        <v>3100</v>
      </c>
      <c r="L259" s="29" t="n">
        <f aca="false">IFERROR(INDEX(Cat_Productos!$B$2:$B$6,MATCH(G259,Cat_Productos!$A$2:$A$6,0)),"")</f>
        <v>290</v>
      </c>
      <c r="M259" s="29" t="n">
        <f aca="false">IF(L259="","",H259*L259)</f>
        <v>1450</v>
      </c>
      <c r="N259" s="29" t="n">
        <f aca="false">IF(M259="","",J259-M259)</f>
        <v>1650</v>
      </c>
      <c r="O259" s="30" t="n">
        <f aca="false">IFERROR(N259/J259,0)</f>
        <v>0.532258064516129</v>
      </c>
      <c r="P259" s="27"/>
      <c r="Q259" s="27" t="s">
        <v>151</v>
      </c>
      <c r="R259" s="27" t="s">
        <v>152</v>
      </c>
      <c r="S259" s="27" t="n">
        <v>109</v>
      </c>
      <c r="T259" s="27"/>
    </row>
    <row r="260" customFormat="false" ht="15" hidden="false" customHeight="false" outlineLevel="0" collapsed="false">
      <c r="A260" s="26" t="n">
        <v>46064</v>
      </c>
      <c r="B260" s="27" t="n">
        <v>2026</v>
      </c>
      <c r="C260" s="27" t="n">
        <v>2</v>
      </c>
      <c r="D260" s="27" t="s">
        <v>81</v>
      </c>
      <c r="E260" s="27" t="s">
        <v>93</v>
      </c>
      <c r="F260" s="27" t="s">
        <v>104</v>
      </c>
      <c r="G260" s="27" t="s">
        <v>116</v>
      </c>
      <c r="H260" s="28" t="n">
        <v>4</v>
      </c>
      <c r="I260" s="29" t="n">
        <v>620</v>
      </c>
      <c r="J260" s="29" t="n">
        <v>2480</v>
      </c>
      <c r="K260" s="29" t="n">
        <f aca="false">H260*I260</f>
        <v>2480</v>
      </c>
      <c r="L260" s="29" t="n">
        <f aca="false">IFERROR(INDEX(Cat_Productos!$B$2:$B$6,MATCH(G260,Cat_Productos!$A$2:$A$6,0)),"")</f>
        <v>290</v>
      </c>
      <c r="M260" s="29" t="n">
        <f aca="false">IF(L260="","",H260*L260)</f>
        <v>1160</v>
      </c>
      <c r="N260" s="29" t="n">
        <f aca="false">IF(M260="","",J260-M260)</f>
        <v>1320</v>
      </c>
      <c r="O260" s="30" t="n">
        <f aca="false">IFERROR(N260/J260,0)</f>
        <v>0.532258064516129</v>
      </c>
      <c r="P260" s="27"/>
      <c r="Q260" s="27" t="s">
        <v>151</v>
      </c>
      <c r="R260" s="27" t="s">
        <v>152</v>
      </c>
      <c r="S260" s="27" t="n">
        <v>171</v>
      </c>
      <c r="T260" s="27"/>
    </row>
    <row r="261" customFormat="false" ht="15" hidden="false" customHeight="false" outlineLevel="0" collapsed="false">
      <c r="A261" s="26" t="n">
        <v>46064</v>
      </c>
      <c r="B261" s="27" t="n">
        <v>2026</v>
      </c>
      <c r="C261" s="27" t="n">
        <v>2</v>
      </c>
      <c r="D261" s="27" t="s">
        <v>81</v>
      </c>
      <c r="E261" s="27" t="s">
        <v>91</v>
      </c>
      <c r="F261" s="27" t="s">
        <v>107</v>
      </c>
      <c r="G261" s="27" t="s">
        <v>117</v>
      </c>
      <c r="H261" s="28" t="n">
        <v>6</v>
      </c>
      <c r="I261" s="29" t="n">
        <v>1450</v>
      </c>
      <c r="J261" s="29" t="n">
        <v>8700</v>
      </c>
      <c r="K261" s="29" t="n">
        <f aca="false">H261*I261</f>
        <v>8700</v>
      </c>
      <c r="L261" s="29" t="n">
        <f aca="false">IFERROR(INDEX(Cat_Productos!$B$2:$B$6,MATCH(G261,Cat_Productos!$A$2:$A$6,0)),"")</f>
        <v>780</v>
      </c>
      <c r="M261" s="29" t="n">
        <f aca="false">IF(L261="","",H261*L261)</f>
        <v>4680</v>
      </c>
      <c r="N261" s="29" t="n">
        <f aca="false">IF(M261="","",J261-M261)</f>
        <v>4020</v>
      </c>
      <c r="O261" s="30" t="n">
        <f aca="false">IFERROR(N261/J261,0)</f>
        <v>0.462068965517241</v>
      </c>
      <c r="P261" s="27"/>
      <c r="Q261" s="27" t="s">
        <v>151</v>
      </c>
      <c r="R261" s="27" t="s">
        <v>152</v>
      </c>
      <c r="S261" s="27" t="n">
        <v>79</v>
      </c>
      <c r="T261" s="27"/>
    </row>
    <row r="262" customFormat="false" ht="15" hidden="false" customHeight="false" outlineLevel="0" collapsed="false">
      <c r="A262" s="26" t="n">
        <v>46064</v>
      </c>
      <c r="B262" s="27" t="n">
        <v>2026</v>
      </c>
      <c r="C262" s="27" t="n">
        <v>2</v>
      </c>
      <c r="D262" s="27" t="s">
        <v>81</v>
      </c>
      <c r="E262" s="27" t="s">
        <v>93</v>
      </c>
      <c r="F262" s="27" t="s">
        <v>108</v>
      </c>
      <c r="G262" s="27" t="s">
        <v>117</v>
      </c>
      <c r="H262" s="28" t="n">
        <v>4</v>
      </c>
      <c r="I262" s="29" t="n">
        <v>1450</v>
      </c>
      <c r="J262" s="29" t="n">
        <v>5800</v>
      </c>
      <c r="K262" s="29" t="n">
        <f aca="false">H262*I262</f>
        <v>5800</v>
      </c>
      <c r="L262" s="29" t="n">
        <f aca="false">IFERROR(INDEX(Cat_Productos!$B$2:$B$6,MATCH(G262,Cat_Productos!$A$2:$A$6,0)),"")</f>
        <v>780</v>
      </c>
      <c r="M262" s="29" t="n">
        <f aca="false">IF(L262="","",H262*L262)</f>
        <v>3120</v>
      </c>
      <c r="N262" s="29" t="n">
        <f aca="false">IF(M262="","",J262-M262)</f>
        <v>2680</v>
      </c>
      <c r="O262" s="30" t="n">
        <f aca="false">IFERROR(N262/J262,0)</f>
        <v>0.462068965517241</v>
      </c>
      <c r="P262" s="27"/>
      <c r="Q262" s="27" t="s">
        <v>151</v>
      </c>
      <c r="R262" s="27" t="s">
        <v>152</v>
      </c>
      <c r="S262" s="27" t="n">
        <v>49</v>
      </c>
      <c r="T262" s="27"/>
    </row>
    <row r="263" customFormat="false" ht="15" hidden="false" customHeight="false" outlineLevel="0" collapsed="false">
      <c r="A263" s="26" t="n">
        <v>46064</v>
      </c>
      <c r="B263" s="27" t="n">
        <v>2026</v>
      </c>
      <c r="C263" s="27" t="n">
        <v>2</v>
      </c>
      <c r="D263" s="27" t="s">
        <v>81</v>
      </c>
      <c r="E263" s="27" t="s">
        <v>93</v>
      </c>
      <c r="F263" s="27" t="s">
        <v>108</v>
      </c>
      <c r="G263" s="27" t="s">
        <v>117</v>
      </c>
      <c r="H263" s="28" t="n">
        <v>4</v>
      </c>
      <c r="I263" s="29" t="n">
        <v>1450</v>
      </c>
      <c r="J263" s="29" t="n">
        <v>5800</v>
      </c>
      <c r="K263" s="29" t="n">
        <f aca="false">H263*I263</f>
        <v>5800</v>
      </c>
      <c r="L263" s="29" t="n">
        <f aca="false">IFERROR(INDEX(Cat_Productos!$B$2:$B$6,MATCH(G263,Cat_Productos!$A$2:$A$6,0)),"")</f>
        <v>780</v>
      </c>
      <c r="M263" s="29" t="n">
        <f aca="false">IF(L263="","",H263*L263)</f>
        <v>3120</v>
      </c>
      <c r="N263" s="29" t="n">
        <f aca="false">IF(M263="","",J263-M263)</f>
        <v>2680</v>
      </c>
      <c r="O263" s="30" t="n">
        <f aca="false">IFERROR(N263/J263,0)</f>
        <v>0.462068965517241</v>
      </c>
      <c r="P263" s="27"/>
      <c r="Q263" s="27" t="s">
        <v>151</v>
      </c>
      <c r="R263" s="27" t="s">
        <v>152</v>
      </c>
      <c r="S263" s="27" t="n">
        <v>45</v>
      </c>
      <c r="T263" s="27"/>
    </row>
    <row r="264" customFormat="false" ht="15" hidden="false" customHeight="false" outlineLevel="0" collapsed="false">
      <c r="A264" s="26" t="n">
        <v>46064</v>
      </c>
      <c r="B264" s="27" t="n">
        <v>2026</v>
      </c>
      <c r="C264" s="27" t="n">
        <v>2</v>
      </c>
      <c r="D264" s="27" t="s">
        <v>81</v>
      </c>
      <c r="E264" s="27" t="s">
        <v>93</v>
      </c>
      <c r="F264" s="27" t="s">
        <v>108</v>
      </c>
      <c r="G264" s="27" t="s">
        <v>116</v>
      </c>
      <c r="H264" s="28" t="n">
        <v>2</v>
      </c>
      <c r="I264" s="29" t="n">
        <v>620</v>
      </c>
      <c r="J264" s="29" t="n">
        <v>1240</v>
      </c>
      <c r="K264" s="29" t="n">
        <f aca="false">H264*I264</f>
        <v>1240</v>
      </c>
      <c r="L264" s="29" t="n">
        <f aca="false">IFERROR(INDEX(Cat_Productos!$B$2:$B$6,MATCH(G264,Cat_Productos!$A$2:$A$6,0)),"")</f>
        <v>290</v>
      </c>
      <c r="M264" s="29" t="n">
        <f aca="false">IF(L264="","",H264*L264)</f>
        <v>580</v>
      </c>
      <c r="N264" s="29" t="n">
        <f aca="false">IF(M264="","",J264-M264)</f>
        <v>660</v>
      </c>
      <c r="O264" s="30" t="n">
        <f aca="false">IFERROR(N264/J264,0)</f>
        <v>0.532258064516129</v>
      </c>
      <c r="P264" s="27"/>
      <c r="Q264" s="27" t="s">
        <v>151</v>
      </c>
      <c r="R264" s="27" t="s">
        <v>152</v>
      </c>
      <c r="S264" s="27" t="n">
        <v>57</v>
      </c>
      <c r="T264" s="27"/>
    </row>
    <row r="265" customFormat="false" ht="15" hidden="false" customHeight="false" outlineLevel="0" collapsed="false">
      <c r="A265" s="26" t="n">
        <v>46066</v>
      </c>
      <c r="B265" s="27" t="n">
        <v>2026</v>
      </c>
      <c r="C265" s="27" t="n">
        <v>2</v>
      </c>
      <c r="D265" s="27" t="s">
        <v>81</v>
      </c>
      <c r="E265" s="27" t="s">
        <v>93</v>
      </c>
      <c r="F265" s="27" t="s">
        <v>108</v>
      </c>
      <c r="G265" s="27" t="s">
        <v>117</v>
      </c>
      <c r="H265" s="28" t="n">
        <v>4</v>
      </c>
      <c r="I265" s="29" t="n">
        <v>1450</v>
      </c>
      <c r="J265" s="29" t="n">
        <v>5800</v>
      </c>
      <c r="K265" s="29" t="n">
        <f aca="false">H265*I265</f>
        <v>5800</v>
      </c>
      <c r="L265" s="29" t="n">
        <f aca="false">IFERROR(INDEX(Cat_Productos!$B$2:$B$6,MATCH(G265,Cat_Productos!$A$2:$A$6,0)),"")</f>
        <v>780</v>
      </c>
      <c r="M265" s="29" t="n">
        <f aca="false">IF(L265="","",H265*L265)</f>
        <v>3120</v>
      </c>
      <c r="N265" s="29" t="n">
        <f aca="false">IF(M265="","",J265-M265)</f>
        <v>2680</v>
      </c>
      <c r="O265" s="30" t="n">
        <f aca="false">IFERROR(N265/J265,0)</f>
        <v>0.462068965517241</v>
      </c>
      <c r="P265" s="27"/>
      <c r="Q265" s="27" t="s">
        <v>151</v>
      </c>
      <c r="R265" s="27" t="s">
        <v>152</v>
      </c>
      <c r="S265" s="27" t="n">
        <v>40</v>
      </c>
      <c r="T265" s="27"/>
    </row>
    <row r="266" customFormat="false" ht="15" hidden="false" customHeight="false" outlineLevel="0" collapsed="false">
      <c r="A266" s="26" t="n">
        <v>46066</v>
      </c>
      <c r="B266" s="27" t="n">
        <v>2026</v>
      </c>
      <c r="C266" s="27" t="n">
        <v>2</v>
      </c>
      <c r="D266" s="27" t="s">
        <v>81</v>
      </c>
      <c r="E266" s="27" t="s">
        <v>91</v>
      </c>
      <c r="F266" s="27" t="s">
        <v>103</v>
      </c>
      <c r="G266" s="27" t="s">
        <v>116</v>
      </c>
      <c r="H266" s="28" t="n">
        <v>6</v>
      </c>
      <c r="I266" s="29" t="n">
        <v>620</v>
      </c>
      <c r="J266" s="29" t="n">
        <v>3720</v>
      </c>
      <c r="K266" s="29" t="n">
        <f aca="false">H266*I266</f>
        <v>3720</v>
      </c>
      <c r="L266" s="29" t="n">
        <f aca="false">IFERROR(INDEX(Cat_Productos!$B$2:$B$6,MATCH(G266,Cat_Productos!$A$2:$A$6,0)),"")</f>
        <v>290</v>
      </c>
      <c r="M266" s="29" t="n">
        <f aca="false">IF(L266="","",H266*L266)</f>
        <v>1740</v>
      </c>
      <c r="N266" s="29" t="n">
        <f aca="false">IF(M266="","",J266-M266)</f>
        <v>1980</v>
      </c>
      <c r="O266" s="30" t="n">
        <f aca="false">IFERROR(N266/J266,0)</f>
        <v>0.532258064516129</v>
      </c>
      <c r="P266" s="27"/>
      <c r="Q266" s="27" t="s">
        <v>151</v>
      </c>
      <c r="R266" s="27" t="s">
        <v>152</v>
      </c>
      <c r="S266" s="27" t="n">
        <v>147</v>
      </c>
      <c r="T266" s="27"/>
    </row>
    <row r="267" customFormat="false" ht="15" hidden="false" customHeight="false" outlineLevel="0" collapsed="false">
      <c r="A267" s="26" t="n">
        <v>46066</v>
      </c>
      <c r="B267" s="27" t="n">
        <v>2026</v>
      </c>
      <c r="C267" s="27" t="n">
        <v>2</v>
      </c>
      <c r="D267" s="27" t="s">
        <v>81</v>
      </c>
      <c r="E267" s="27" t="s">
        <v>93</v>
      </c>
      <c r="F267" s="27" t="s">
        <v>104</v>
      </c>
      <c r="G267" s="27" t="s">
        <v>116</v>
      </c>
      <c r="H267" s="28" t="n">
        <v>6</v>
      </c>
      <c r="I267" s="29" t="n">
        <v>620</v>
      </c>
      <c r="J267" s="29" t="n">
        <v>3720</v>
      </c>
      <c r="K267" s="29" t="n">
        <f aca="false">H267*I267</f>
        <v>3720</v>
      </c>
      <c r="L267" s="29" t="n">
        <f aca="false">IFERROR(INDEX(Cat_Productos!$B$2:$B$6,MATCH(G267,Cat_Productos!$A$2:$A$6,0)),"")</f>
        <v>290</v>
      </c>
      <c r="M267" s="29" t="n">
        <f aca="false">IF(L267="","",H267*L267)</f>
        <v>1740</v>
      </c>
      <c r="N267" s="29" t="n">
        <f aca="false">IF(M267="","",J267-M267)</f>
        <v>1980</v>
      </c>
      <c r="O267" s="30" t="n">
        <f aca="false">IFERROR(N267/J267,0)</f>
        <v>0.532258064516129</v>
      </c>
      <c r="P267" s="27"/>
      <c r="Q267" s="27" t="s">
        <v>151</v>
      </c>
      <c r="R267" s="27" t="s">
        <v>152</v>
      </c>
      <c r="S267" s="27" t="n">
        <v>176</v>
      </c>
      <c r="T267" s="27"/>
    </row>
    <row r="268" customFormat="false" ht="15" hidden="false" customHeight="false" outlineLevel="0" collapsed="false">
      <c r="A268" s="26" t="n">
        <v>46066</v>
      </c>
      <c r="B268" s="27" t="n">
        <v>2026</v>
      </c>
      <c r="C268" s="27" t="n">
        <v>2</v>
      </c>
      <c r="D268" s="27" t="s">
        <v>81</v>
      </c>
      <c r="E268" s="27" t="s">
        <v>91</v>
      </c>
      <c r="F268" s="27" t="s">
        <v>103</v>
      </c>
      <c r="G268" s="27" t="s">
        <v>116</v>
      </c>
      <c r="H268" s="28" t="n">
        <v>1</v>
      </c>
      <c r="I268" s="29" t="n">
        <v>620</v>
      </c>
      <c r="J268" s="29" t="n">
        <v>620</v>
      </c>
      <c r="K268" s="29" t="n">
        <f aca="false">H268*I268</f>
        <v>620</v>
      </c>
      <c r="L268" s="29" t="n">
        <f aca="false">IFERROR(INDEX(Cat_Productos!$B$2:$B$6,MATCH(G268,Cat_Productos!$A$2:$A$6,0)),"")</f>
        <v>290</v>
      </c>
      <c r="M268" s="29" t="n">
        <f aca="false">IF(L268="","",H268*L268)</f>
        <v>290</v>
      </c>
      <c r="N268" s="29" t="n">
        <f aca="false">IF(M268="","",J268-M268)</f>
        <v>330</v>
      </c>
      <c r="O268" s="30" t="n">
        <f aca="false">IFERROR(N268/J268,0)</f>
        <v>0.532258064516129</v>
      </c>
      <c r="P268" s="27"/>
      <c r="Q268" s="27" t="s">
        <v>151</v>
      </c>
      <c r="R268" s="27" t="s">
        <v>152</v>
      </c>
      <c r="S268" s="27" t="n">
        <v>159</v>
      </c>
      <c r="T268" s="27"/>
    </row>
    <row r="269" customFormat="false" ht="15" hidden="false" customHeight="false" outlineLevel="0" collapsed="false">
      <c r="A269" s="26" t="n">
        <v>46066</v>
      </c>
      <c r="B269" s="27" t="n">
        <v>2026</v>
      </c>
      <c r="C269" s="27" t="n">
        <v>2</v>
      </c>
      <c r="D269" s="27" t="s">
        <v>81</v>
      </c>
      <c r="E269" s="27" t="s">
        <v>93</v>
      </c>
      <c r="F269" s="27" t="s">
        <v>108</v>
      </c>
      <c r="G269" s="27" t="s">
        <v>114</v>
      </c>
      <c r="H269" s="28" t="n">
        <v>6</v>
      </c>
      <c r="I269" s="29" t="n">
        <v>23900</v>
      </c>
      <c r="J269" s="29" t="n">
        <v>143400</v>
      </c>
      <c r="K269" s="29" t="n">
        <f aca="false">H269*I269</f>
        <v>143400</v>
      </c>
      <c r="L269" s="29" t="n">
        <f aca="false">IFERROR(INDEX(Cat_Productos!$B$2:$B$6,MATCH(G269,Cat_Productos!$A$2:$A$6,0)),"")</f>
        <v>19200</v>
      </c>
      <c r="M269" s="29" t="n">
        <f aca="false">IF(L269="","",H269*L269)</f>
        <v>115200</v>
      </c>
      <c r="N269" s="29" t="n">
        <f aca="false">IF(M269="","",J269-M269)</f>
        <v>28200</v>
      </c>
      <c r="O269" s="30" t="n">
        <f aca="false">IFERROR(N269/J269,0)</f>
        <v>0.196652719665272</v>
      </c>
      <c r="P269" s="27"/>
      <c r="Q269" s="27" t="s">
        <v>151</v>
      </c>
      <c r="R269" s="27" t="s">
        <v>152</v>
      </c>
      <c r="S269" s="27" t="n">
        <v>36</v>
      </c>
      <c r="T269" s="27"/>
    </row>
    <row r="270" customFormat="false" ht="15" hidden="false" customHeight="false" outlineLevel="0" collapsed="false">
      <c r="A270" s="26" t="n">
        <v>46066</v>
      </c>
      <c r="B270" s="27" t="n">
        <v>2026</v>
      </c>
      <c r="C270" s="27" t="n">
        <v>2</v>
      </c>
      <c r="D270" s="27" t="s">
        <v>81</v>
      </c>
      <c r="E270" s="27" t="s">
        <v>91</v>
      </c>
      <c r="F270" s="27" t="s">
        <v>107</v>
      </c>
      <c r="G270" s="27" t="s">
        <v>117</v>
      </c>
      <c r="H270" s="28" t="n">
        <v>2</v>
      </c>
      <c r="I270" s="29" t="n">
        <v>1450</v>
      </c>
      <c r="J270" s="29" t="n">
        <v>2900</v>
      </c>
      <c r="K270" s="29" t="n">
        <f aca="false">H270*I270</f>
        <v>2900</v>
      </c>
      <c r="L270" s="29" t="n">
        <f aca="false">IFERROR(INDEX(Cat_Productos!$B$2:$B$6,MATCH(G270,Cat_Productos!$A$2:$A$6,0)),"")</f>
        <v>780</v>
      </c>
      <c r="M270" s="29" t="n">
        <f aca="false">IF(L270="","",H270*L270)</f>
        <v>1560</v>
      </c>
      <c r="N270" s="29" t="n">
        <f aca="false">IF(M270="","",J270-M270)</f>
        <v>1340</v>
      </c>
      <c r="O270" s="30" t="n">
        <f aca="false">IFERROR(N270/J270,0)</f>
        <v>0.462068965517241</v>
      </c>
      <c r="P270" s="27"/>
      <c r="Q270" s="27" t="s">
        <v>151</v>
      </c>
      <c r="R270" s="27" t="s">
        <v>152</v>
      </c>
      <c r="S270" s="27" t="n">
        <v>74</v>
      </c>
      <c r="T270" s="27"/>
    </row>
    <row r="271" customFormat="false" ht="15" hidden="false" customHeight="false" outlineLevel="0" collapsed="false">
      <c r="A271" s="26" t="n">
        <v>46066</v>
      </c>
      <c r="B271" s="27" t="n">
        <v>2026</v>
      </c>
      <c r="C271" s="27" t="n">
        <v>2</v>
      </c>
      <c r="D271" s="27" t="s">
        <v>81</v>
      </c>
      <c r="E271" s="27" t="s">
        <v>93</v>
      </c>
      <c r="F271" s="27" t="s">
        <v>108</v>
      </c>
      <c r="G271" s="27" t="s">
        <v>116</v>
      </c>
      <c r="H271" s="28" t="n">
        <v>6</v>
      </c>
      <c r="I271" s="29" t="n">
        <v>620</v>
      </c>
      <c r="J271" s="29" t="n">
        <v>3720</v>
      </c>
      <c r="K271" s="29" t="n">
        <f aca="false">H271*I271</f>
        <v>3720</v>
      </c>
      <c r="L271" s="29" t="n">
        <f aca="false">IFERROR(INDEX(Cat_Productos!$B$2:$B$6,MATCH(G271,Cat_Productos!$A$2:$A$6,0)),"")</f>
        <v>290</v>
      </c>
      <c r="M271" s="29" t="n">
        <f aca="false">IF(L271="","",H271*L271)</f>
        <v>1740</v>
      </c>
      <c r="N271" s="29" t="n">
        <f aca="false">IF(M271="","",J271-M271)</f>
        <v>1980</v>
      </c>
      <c r="O271" s="30" t="n">
        <f aca="false">IFERROR(N271/J271,0)</f>
        <v>0.532258064516129</v>
      </c>
      <c r="P271" s="27"/>
      <c r="Q271" s="27" t="s">
        <v>151</v>
      </c>
      <c r="R271" s="27" t="s">
        <v>152</v>
      </c>
      <c r="S271" s="27" t="n">
        <v>64</v>
      </c>
      <c r="T271" s="27"/>
    </row>
    <row r="272" customFormat="false" ht="15" hidden="false" customHeight="false" outlineLevel="0" collapsed="false">
      <c r="A272" s="26" t="n">
        <v>46066</v>
      </c>
      <c r="B272" s="27" t="n">
        <v>2026</v>
      </c>
      <c r="C272" s="27" t="n">
        <v>2</v>
      </c>
      <c r="D272" s="27" t="s">
        <v>81</v>
      </c>
      <c r="E272" s="27" t="s">
        <v>91</v>
      </c>
      <c r="F272" s="27" t="s">
        <v>103</v>
      </c>
      <c r="G272" s="27" t="s">
        <v>117</v>
      </c>
      <c r="H272" s="28" t="n">
        <v>4</v>
      </c>
      <c r="I272" s="29" t="n">
        <v>1450</v>
      </c>
      <c r="J272" s="29" t="n">
        <v>5800</v>
      </c>
      <c r="K272" s="29" t="n">
        <f aca="false">H272*I272</f>
        <v>5800</v>
      </c>
      <c r="L272" s="29" t="n">
        <f aca="false">IFERROR(INDEX(Cat_Productos!$B$2:$B$6,MATCH(G272,Cat_Productos!$A$2:$A$6,0)),"")</f>
        <v>780</v>
      </c>
      <c r="M272" s="29" t="n">
        <f aca="false">IF(L272="","",H272*L272)</f>
        <v>3120</v>
      </c>
      <c r="N272" s="29" t="n">
        <f aca="false">IF(M272="","",J272-M272)</f>
        <v>2680</v>
      </c>
      <c r="O272" s="30" t="n">
        <f aca="false">IFERROR(N272/J272,0)</f>
        <v>0.462068965517241</v>
      </c>
      <c r="P272" s="27"/>
      <c r="Q272" s="27" t="s">
        <v>151</v>
      </c>
      <c r="R272" s="27" t="s">
        <v>152</v>
      </c>
      <c r="S272" s="27" t="n">
        <v>133</v>
      </c>
      <c r="T272" s="27"/>
    </row>
    <row r="273" customFormat="false" ht="15" hidden="false" customHeight="false" outlineLevel="0" collapsed="false">
      <c r="A273" s="26" t="n">
        <v>46066</v>
      </c>
      <c r="B273" s="27" t="n">
        <v>2026</v>
      </c>
      <c r="C273" s="27" t="n">
        <v>2</v>
      </c>
      <c r="D273" s="27" t="s">
        <v>81</v>
      </c>
      <c r="E273" s="27" t="s">
        <v>91</v>
      </c>
      <c r="F273" s="27" t="s">
        <v>107</v>
      </c>
      <c r="G273" s="27" t="s">
        <v>114</v>
      </c>
      <c r="H273" s="28" t="n">
        <v>4</v>
      </c>
      <c r="I273" s="29" t="n">
        <v>23900</v>
      </c>
      <c r="J273" s="29" t="n">
        <v>95600</v>
      </c>
      <c r="K273" s="29" t="n">
        <f aca="false">H273*I273</f>
        <v>95600</v>
      </c>
      <c r="L273" s="29" t="n">
        <f aca="false">IFERROR(INDEX(Cat_Productos!$B$2:$B$6,MATCH(G273,Cat_Productos!$A$2:$A$6,0)),"")</f>
        <v>19200</v>
      </c>
      <c r="M273" s="29" t="n">
        <f aca="false">IF(L273="","",H273*L273)</f>
        <v>76800</v>
      </c>
      <c r="N273" s="29" t="n">
        <f aca="false">IF(M273="","",J273-M273)</f>
        <v>18800</v>
      </c>
      <c r="O273" s="30" t="n">
        <f aca="false">IFERROR(N273/J273,0)</f>
        <v>0.196652719665272</v>
      </c>
      <c r="P273" s="27"/>
      <c r="Q273" s="27" t="s">
        <v>151</v>
      </c>
      <c r="R273" s="27" t="s">
        <v>152</v>
      </c>
      <c r="S273" s="27" t="n">
        <v>70</v>
      </c>
      <c r="T273" s="27"/>
    </row>
    <row r="274" customFormat="false" ht="15" hidden="false" customHeight="false" outlineLevel="0" collapsed="false">
      <c r="A274" s="26" t="n">
        <v>46066</v>
      </c>
      <c r="B274" s="27" t="n">
        <v>2026</v>
      </c>
      <c r="C274" s="27" t="n">
        <v>2</v>
      </c>
      <c r="D274" s="27" t="s">
        <v>81</v>
      </c>
      <c r="E274" s="27" t="s">
        <v>91</v>
      </c>
      <c r="F274" s="27" t="s">
        <v>103</v>
      </c>
      <c r="G274" s="27" t="s">
        <v>117</v>
      </c>
      <c r="H274" s="28" t="n">
        <v>4</v>
      </c>
      <c r="I274" s="29" t="n">
        <v>1450</v>
      </c>
      <c r="J274" s="29" t="n">
        <v>5800</v>
      </c>
      <c r="K274" s="29" t="n">
        <f aca="false">H274*I274</f>
        <v>5800</v>
      </c>
      <c r="L274" s="29" t="n">
        <f aca="false">IFERROR(INDEX(Cat_Productos!$B$2:$B$6,MATCH(G274,Cat_Productos!$A$2:$A$6,0)),"")</f>
        <v>780</v>
      </c>
      <c r="M274" s="29" t="n">
        <f aca="false">IF(L274="","",H274*L274)</f>
        <v>3120</v>
      </c>
      <c r="N274" s="29" t="n">
        <f aca="false">IF(M274="","",J274-M274)</f>
        <v>2680</v>
      </c>
      <c r="O274" s="30" t="n">
        <f aca="false">IFERROR(N274/J274,0)</f>
        <v>0.462068965517241</v>
      </c>
      <c r="P274" s="27"/>
      <c r="Q274" s="27" t="s">
        <v>151</v>
      </c>
      <c r="R274" s="27" t="s">
        <v>152</v>
      </c>
      <c r="S274" s="27" t="n">
        <v>125</v>
      </c>
      <c r="T274" s="27"/>
    </row>
    <row r="275" customFormat="false" ht="15" hidden="false" customHeight="false" outlineLevel="0" collapsed="false">
      <c r="A275" s="26" t="n">
        <v>46066</v>
      </c>
      <c r="B275" s="27" t="n">
        <v>2026</v>
      </c>
      <c r="C275" s="27" t="n">
        <v>2</v>
      </c>
      <c r="D275" s="27" t="s">
        <v>81</v>
      </c>
      <c r="E275" s="27" t="s">
        <v>91</v>
      </c>
      <c r="F275" s="27" t="s">
        <v>103</v>
      </c>
      <c r="G275" s="27" t="s">
        <v>117</v>
      </c>
      <c r="H275" s="28" t="n">
        <v>4</v>
      </c>
      <c r="I275" s="29" t="n">
        <v>1450</v>
      </c>
      <c r="J275" s="29" t="n">
        <v>5800</v>
      </c>
      <c r="K275" s="29" t="n">
        <f aca="false">H275*I275</f>
        <v>5800</v>
      </c>
      <c r="L275" s="29" t="n">
        <f aca="false">IFERROR(INDEX(Cat_Productos!$B$2:$B$6,MATCH(G275,Cat_Productos!$A$2:$A$6,0)),"")</f>
        <v>780</v>
      </c>
      <c r="M275" s="29" t="n">
        <f aca="false">IF(L275="","",H275*L275)</f>
        <v>3120</v>
      </c>
      <c r="N275" s="29" t="n">
        <f aca="false">IF(M275="","",J275-M275)</f>
        <v>2680</v>
      </c>
      <c r="O275" s="30" t="n">
        <f aca="false">IFERROR(N275/J275,0)</f>
        <v>0.462068965517241</v>
      </c>
      <c r="P275" s="27"/>
      <c r="Q275" s="27" t="s">
        <v>151</v>
      </c>
      <c r="R275" s="27" t="s">
        <v>152</v>
      </c>
      <c r="S275" s="27" t="n">
        <v>123</v>
      </c>
      <c r="T275" s="27"/>
    </row>
    <row r="276" customFormat="false" ht="15" hidden="false" customHeight="false" outlineLevel="0" collapsed="false">
      <c r="A276" s="26" t="n">
        <v>46066</v>
      </c>
      <c r="B276" s="27" t="n">
        <v>2026</v>
      </c>
      <c r="C276" s="27" t="n">
        <v>2</v>
      </c>
      <c r="D276" s="27" t="s">
        <v>81</v>
      </c>
      <c r="E276" s="27" t="s">
        <v>91</v>
      </c>
      <c r="F276" s="27" t="s">
        <v>107</v>
      </c>
      <c r="G276" s="27" t="s">
        <v>117</v>
      </c>
      <c r="H276" s="28" t="n">
        <v>2</v>
      </c>
      <c r="I276" s="29" t="n">
        <v>1450</v>
      </c>
      <c r="J276" s="29" t="n">
        <v>2900</v>
      </c>
      <c r="K276" s="29" t="n">
        <f aca="false">H276*I276</f>
        <v>2900</v>
      </c>
      <c r="L276" s="29" t="n">
        <f aca="false">IFERROR(INDEX(Cat_Productos!$B$2:$B$6,MATCH(G276,Cat_Productos!$A$2:$A$6,0)),"")</f>
        <v>780</v>
      </c>
      <c r="M276" s="29" t="n">
        <f aca="false">IF(L276="","",H276*L276)</f>
        <v>1560</v>
      </c>
      <c r="N276" s="29" t="n">
        <f aca="false">IF(M276="","",J276-M276)</f>
        <v>1340</v>
      </c>
      <c r="O276" s="30" t="n">
        <f aca="false">IFERROR(N276/J276,0)</f>
        <v>0.462068965517241</v>
      </c>
      <c r="P276" s="27"/>
      <c r="Q276" s="27" t="s">
        <v>151</v>
      </c>
      <c r="R276" s="27" t="s">
        <v>152</v>
      </c>
      <c r="S276" s="27" t="n">
        <v>84</v>
      </c>
      <c r="T276" s="27"/>
    </row>
    <row r="277" customFormat="false" ht="15" hidden="false" customHeight="false" outlineLevel="0" collapsed="false">
      <c r="A277" s="26" t="n">
        <v>46067</v>
      </c>
      <c r="B277" s="27" t="n">
        <v>2026</v>
      </c>
      <c r="C277" s="27" t="n">
        <v>2</v>
      </c>
      <c r="D277" s="27" t="s">
        <v>81</v>
      </c>
      <c r="E277" s="27" t="s">
        <v>92</v>
      </c>
      <c r="F277" s="27" t="s">
        <v>105</v>
      </c>
      <c r="G277" s="27" t="s">
        <v>118</v>
      </c>
      <c r="H277" s="28" t="n">
        <v>3</v>
      </c>
      <c r="I277" s="29" t="n">
        <v>1180</v>
      </c>
      <c r="J277" s="29" t="n">
        <v>3540</v>
      </c>
      <c r="K277" s="29" t="n">
        <f aca="false">H277*I277</f>
        <v>3540</v>
      </c>
      <c r="L277" s="29" t="n">
        <f aca="false">IFERROR(INDEX(Cat_Productos!$B$2:$B$6,MATCH(G277,Cat_Productos!$A$2:$A$6,0)),"")</f>
        <v>590</v>
      </c>
      <c r="M277" s="29" t="n">
        <f aca="false">IF(L277="","",H277*L277)</f>
        <v>1770</v>
      </c>
      <c r="N277" s="29" t="n">
        <f aca="false">IF(M277="","",J277-M277)</f>
        <v>1770</v>
      </c>
      <c r="O277" s="30" t="n">
        <f aca="false">IFERROR(N277/J277,0)</f>
        <v>0.5</v>
      </c>
      <c r="P277" s="27"/>
      <c r="Q277" s="27" t="s">
        <v>151</v>
      </c>
      <c r="R277" s="27" t="s">
        <v>152</v>
      </c>
      <c r="S277" s="27" t="n">
        <v>28</v>
      </c>
      <c r="T277" s="27"/>
    </row>
    <row r="278" customFormat="false" ht="15" hidden="false" customHeight="false" outlineLevel="0" collapsed="false">
      <c r="A278" s="26" t="n">
        <v>46067</v>
      </c>
      <c r="B278" s="27" t="n">
        <v>2026</v>
      </c>
      <c r="C278" s="27" t="n">
        <v>2</v>
      </c>
      <c r="D278" s="27" t="s">
        <v>81</v>
      </c>
      <c r="E278" s="27" t="s">
        <v>92</v>
      </c>
      <c r="F278" s="27" t="s">
        <v>105</v>
      </c>
      <c r="G278" s="27" t="s">
        <v>114</v>
      </c>
      <c r="H278" s="28" t="n">
        <v>3</v>
      </c>
      <c r="I278" s="29" t="n">
        <v>23900</v>
      </c>
      <c r="J278" s="29" t="n">
        <v>71700</v>
      </c>
      <c r="K278" s="29" t="n">
        <f aca="false">H278*I278</f>
        <v>71700</v>
      </c>
      <c r="L278" s="29" t="n">
        <f aca="false">IFERROR(INDEX(Cat_Productos!$B$2:$B$6,MATCH(G278,Cat_Productos!$A$2:$A$6,0)),"")</f>
        <v>19200</v>
      </c>
      <c r="M278" s="29" t="n">
        <f aca="false">IF(L278="","",H278*L278)</f>
        <v>57600</v>
      </c>
      <c r="N278" s="29" t="n">
        <f aca="false">IF(M278="","",J278-M278)</f>
        <v>14100</v>
      </c>
      <c r="O278" s="30" t="n">
        <f aca="false">IFERROR(N278/J278,0)</f>
        <v>0.196652719665272</v>
      </c>
      <c r="P278" s="27"/>
      <c r="Q278" s="27" t="s">
        <v>151</v>
      </c>
      <c r="R278" s="27" t="s">
        <v>152</v>
      </c>
      <c r="S278" s="27" t="n">
        <v>8</v>
      </c>
      <c r="T278" s="27"/>
    </row>
    <row r="279" customFormat="false" ht="15" hidden="false" customHeight="false" outlineLevel="0" collapsed="false">
      <c r="A279" s="26" t="n">
        <v>46068</v>
      </c>
      <c r="B279" s="27" t="n">
        <v>2026</v>
      </c>
      <c r="C279" s="27" t="n">
        <v>2</v>
      </c>
      <c r="D279" s="27" t="s">
        <v>81</v>
      </c>
      <c r="E279" s="27" t="s">
        <v>91</v>
      </c>
      <c r="F279" s="27" t="s">
        <v>103</v>
      </c>
      <c r="G279" s="27" t="s">
        <v>116</v>
      </c>
      <c r="H279" s="28" t="n">
        <v>6</v>
      </c>
      <c r="I279" s="29" t="n">
        <v>620</v>
      </c>
      <c r="J279" s="29" t="n">
        <v>3720</v>
      </c>
      <c r="K279" s="29" t="n">
        <f aca="false">H279*I279</f>
        <v>3720</v>
      </c>
      <c r="L279" s="29" t="n">
        <f aca="false">IFERROR(INDEX(Cat_Productos!$B$2:$B$6,MATCH(G279,Cat_Productos!$A$2:$A$6,0)),"")</f>
        <v>290</v>
      </c>
      <c r="M279" s="29" t="n">
        <f aca="false">IF(L279="","",H279*L279)</f>
        <v>1740</v>
      </c>
      <c r="N279" s="29" t="n">
        <f aca="false">IF(M279="","",J279-M279)</f>
        <v>1980</v>
      </c>
      <c r="O279" s="30" t="n">
        <f aca="false">IFERROR(N279/J279,0)</f>
        <v>0.532258064516129</v>
      </c>
      <c r="P279" s="27"/>
      <c r="Q279" s="27" t="s">
        <v>151</v>
      </c>
      <c r="R279" s="27" t="s">
        <v>152</v>
      </c>
      <c r="S279" s="27" t="n">
        <v>148</v>
      </c>
      <c r="T279" s="27"/>
    </row>
    <row r="280" customFormat="false" ht="15" hidden="false" customHeight="false" outlineLevel="0" collapsed="false">
      <c r="A280" s="26" t="n">
        <v>46068</v>
      </c>
      <c r="B280" s="27" t="n">
        <v>2026</v>
      </c>
      <c r="C280" s="27" t="n">
        <v>2</v>
      </c>
      <c r="D280" s="27" t="s">
        <v>81</v>
      </c>
      <c r="E280" s="27" t="s">
        <v>91</v>
      </c>
      <c r="F280" s="27" t="s">
        <v>103</v>
      </c>
      <c r="G280" s="27" t="s">
        <v>117</v>
      </c>
      <c r="H280" s="28" t="n">
        <v>6</v>
      </c>
      <c r="I280" s="29" t="n">
        <v>1450</v>
      </c>
      <c r="J280" s="29" t="n">
        <v>8700</v>
      </c>
      <c r="K280" s="29" t="n">
        <f aca="false">H280*I280</f>
        <v>8700</v>
      </c>
      <c r="L280" s="29" t="n">
        <f aca="false">IFERROR(INDEX(Cat_Productos!$B$2:$B$6,MATCH(G280,Cat_Productos!$A$2:$A$6,0)),"")</f>
        <v>780</v>
      </c>
      <c r="M280" s="29" t="n">
        <f aca="false">IF(L280="","",H280*L280)</f>
        <v>4680</v>
      </c>
      <c r="N280" s="29" t="n">
        <f aca="false">IF(M280="","",J280-M280)</f>
        <v>4020</v>
      </c>
      <c r="O280" s="30" t="n">
        <f aca="false">IFERROR(N280/J280,0)</f>
        <v>0.462068965517241</v>
      </c>
      <c r="P280" s="27"/>
      <c r="Q280" s="27" t="s">
        <v>151</v>
      </c>
      <c r="R280" s="27" t="s">
        <v>152</v>
      </c>
      <c r="S280" s="27" t="n">
        <v>122</v>
      </c>
      <c r="T280" s="27"/>
    </row>
    <row r="281" customFormat="false" ht="15" hidden="false" customHeight="false" outlineLevel="0" collapsed="false">
      <c r="A281" s="26" t="n">
        <v>46068</v>
      </c>
      <c r="B281" s="27" t="n">
        <v>2026</v>
      </c>
      <c r="C281" s="27" t="n">
        <v>2</v>
      </c>
      <c r="D281" s="27" t="s">
        <v>81</v>
      </c>
      <c r="E281" s="27" t="s">
        <v>93</v>
      </c>
      <c r="F281" s="27" t="s">
        <v>104</v>
      </c>
      <c r="G281" s="27" t="s">
        <v>116</v>
      </c>
      <c r="H281" s="28" t="n">
        <v>2</v>
      </c>
      <c r="I281" s="29" t="n">
        <v>620</v>
      </c>
      <c r="J281" s="29" t="n">
        <v>1240</v>
      </c>
      <c r="K281" s="29" t="n">
        <f aca="false">H281*I281</f>
        <v>1240</v>
      </c>
      <c r="L281" s="29" t="n">
        <f aca="false">IFERROR(INDEX(Cat_Productos!$B$2:$B$6,MATCH(G281,Cat_Productos!$A$2:$A$6,0)),"")</f>
        <v>290</v>
      </c>
      <c r="M281" s="29" t="n">
        <f aca="false">IF(L281="","",H281*L281)</f>
        <v>580</v>
      </c>
      <c r="N281" s="29" t="n">
        <f aca="false">IF(M281="","",J281-M281)</f>
        <v>660</v>
      </c>
      <c r="O281" s="30" t="n">
        <f aca="false">IFERROR(N281/J281,0)</f>
        <v>0.532258064516129</v>
      </c>
      <c r="P281" s="27"/>
      <c r="Q281" s="27" t="s">
        <v>151</v>
      </c>
      <c r="R281" s="27" t="s">
        <v>152</v>
      </c>
      <c r="S281" s="27" t="n">
        <v>173</v>
      </c>
      <c r="T281" s="27"/>
    </row>
    <row r="282" customFormat="false" ht="15" hidden="false" customHeight="false" outlineLevel="0" collapsed="false">
      <c r="A282" s="26" t="n">
        <v>46068</v>
      </c>
      <c r="B282" s="27" t="n">
        <v>2026</v>
      </c>
      <c r="C282" s="27" t="n">
        <v>2</v>
      </c>
      <c r="D282" s="27" t="s">
        <v>81</v>
      </c>
      <c r="E282" s="27" t="s">
        <v>91</v>
      </c>
      <c r="F282" s="27" t="s">
        <v>107</v>
      </c>
      <c r="G282" s="27" t="s">
        <v>117</v>
      </c>
      <c r="H282" s="28" t="n">
        <v>2</v>
      </c>
      <c r="I282" s="29" t="n">
        <v>1450</v>
      </c>
      <c r="J282" s="29" t="n">
        <v>2900</v>
      </c>
      <c r="K282" s="29" t="n">
        <f aca="false">H282*I282</f>
        <v>2900</v>
      </c>
      <c r="L282" s="29" t="n">
        <f aca="false">IFERROR(INDEX(Cat_Productos!$B$2:$B$6,MATCH(G282,Cat_Productos!$A$2:$A$6,0)),"")</f>
        <v>780</v>
      </c>
      <c r="M282" s="29" t="n">
        <f aca="false">IF(L282="","",H282*L282)</f>
        <v>1560</v>
      </c>
      <c r="N282" s="29" t="n">
        <f aca="false">IF(M282="","",J282-M282)</f>
        <v>1340</v>
      </c>
      <c r="O282" s="30" t="n">
        <f aca="false">IFERROR(N282/J282,0)</f>
        <v>0.462068965517241</v>
      </c>
      <c r="P282" s="27"/>
      <c r="Q282" s="27" t="s">
        <v>151</v>
      </c>
      <c r="R282" s="27" t="s">
        <v>152</v>
      </c>
      <c r="S282" s="27" t="n">
        <v>77</v>
      </c>
      <c r="T282" s="27"/>
    </row>
    <row r="283" customFormat="false" ht="15" hidden="false" customHeight="false" outlineLevel="0" collapsed="false">
      <c r="A283" s="26" t="n">
        <v>46068</v>
      </c>
      <c r="B283" s="27" t="n">
        <v>2026</v>
      </c>
      <c r="C283" s="27" t="n">
        <v>2</v>
      </c>
      <c r="D283" s="27" t="s">
        <v>81</v>
      </c>
      <c r="E283" s="27" t="s">
        <v>91</v>
      </c>
      <c r="F283" s="27" t="s">
        <v>107</v>
      </c>
      <c r="G283" s="27" t="s">
        <v>117</v>
      </c>
      <c r="H283" s="28" t="n">
        <v>4</v>
      </c>
      <c r="I283" s="29" t="n">
        <v>1450</v>
      </c>
      <c r="J283" s="29" t="n">
        <v>5800</v>
      </c>
      <c r="K283" s="29" t="n">
        <f aca="false">H283*I283</f>
        <v>5800</v>
      </c>
      <c r="L283" s="29" t="n">
        <f aca="false">IFERROR(INDEX(Cat_Productos!$B$2:$B$6,MATCH(G283,Cat_Productos!$A$2:$A$6,0)),"")</f>
        <v>780</v>
      </c>
      <c r="M283" s="29" t="n">
        <f aca="false">IF(L283="","",H283*L283)</f>
        <v>3120</v>
      </c>
      <c r="N283" s="29" t="n">
        <f aca="false">IF(M283="","",J283-M283)</f>
        <v>2680</v>
      </c>
      <c r="O283" s="30" t="n">
        <f aca="false">IFERROR(N283/J283,0)</f>
        <v>0.462068965517241</v>
      </c>
      <c r="P283" s="27"/>
      <c r="Q283" s="27" t="s">
        <v>151</v>
      </c>
      <c r="R283" s="27" t="s">
        <v>152</v>
      </c>
      <c r="S283" s="27" t="n">
        <v>71</v>
      </c>
      <c r="T283" s="27"/>
    </row>
    <row r="284" customFormat="false" ht="15" hidden="false" customHeight="false" outlineLevel="0" collapsed="false">
      <c r="A284" s="26" t="n">
        <v>46068</v>
      </c>
      <c r="B284" s="27" t="n">
        <v>2026</v>
      </c>
      <c r="C284" s="27" t="n">
        <v>2</v>
      </c>
      <c r="D284" s="27" t="s">
        <v>81</v>
      </c>
      <c r="E284" s="27" t="s">
        <v>91</v>
      </c>
      <c r="F284" s="27" t="s">
        <v>107</v>
      </c>
      <c r="G284" s="27" t="s">
        <v>117</v>
      </c>
      <c r="H284" s="28" t="n">
        <v>4</v>
      </c>
      <c r="I284" s="29" t="n">
        <v>1450</v>
      </c>
      <c r="J284" s="29" t="n">
        <v>5800</v>
      </c>
      <c r="K284" s="29" t="n">
        <f aca="false">H284*I284</f>
        <v>5800</v>
      </c>
      <c r="L284" s="29" t="n">
        <f aca="false">IFERROR(INDEX(Cat_Productos!$B$2:$B$6,MATCH(G284,Cat_Productos!$A$2:$A$6,0)),"")</f>
        <v>780</v>
      </c>
      <c r="M284" s="29" t="n">
        <f aca="false">IF(L284="","",H284*L284)</f>
        <v>3120</v>
      </c>
      <c r="N284" s="29" t="n">
        <f aca="false">IF(M284="","",J284-M284)</f>
        <v>2680</v>
      </c>
      <c r="O284" s="30" t="n">
        <f aca="false">IFERROR(N284/J284,0)</f>
        <v>0.462068965517241</v>
      </c>
      <c r="P284" s="27"/>
      <c r="Q284" s="27" t="s">
        <v>151</v>
      </c>
      <c r="R284" s="27" t="s">
        <v>152</v>
      </c>
      <c r="S284" s="27" t="n">
        <v>75</v>
      </c>
      <c r="T284" s="27"/>
    </row>
    <row r="285" customFormat="false" ht="15" hidden="false" customHeight="false" outlineLevel="0" collapsed="false">
      <c r="A285" s="26" t="n">
        <v>46068</v>
      </c>
      <c r="B285" s="27" t="n">
        <v>2026</v>
      </c>
      <c r="C285" s="27" t="n">
        <v>2</v>
      </c>
      <c r="D285" s="27" t="s">
        <v>81</v>
      </c>
      <c r="E285" s="27" t="s">
        <v>91</v>
      </c>
      <c r="F285" s="27" t="s">
        <v>107</v>
      </c>
      <c r="G285" s="27" t="s">
        <v>117</v>
      </c>
      <c r="H285" s="28" t="n">
        <v>6</v>
      </c>
      <c r="I285" s="29" t="n">
        <v>1450</v>
      </c>
      <c r="J285" s="29" t="n">
        <v>8700</v>
      </c>
      <c r="K285" s="29" t="n">
        <f aca="false">H285*I285</f>
        <v>8700</v>
      </c>
      <c r="L285" s="29" t="n">
        <f aca="false">IFERROR(INDEX(Cat_Productos!$B$2:$B$6,MATCH(G285,Cat_Productos!$A$2:$A$6,0)),"")</f>
        <v>780</v>
      </c>
      <c r="M285" s="29" t="n">
        <f aca="false">IF(L285="","",H285*L285)</f>
        <v>4680</v>
      </c>
      <c r="N285" s="29" t="n">
        <f aca="false">IF(M285="","",J285-M285)</f>
        <v>4020</v>
      </c>
      <c r="O285" s="30" t="n">
        <f aca="false">IFERROR(N285/J285,0)</f>
        <v>0.462068965517241</v>
      </c>
      <c r="P285" s="27"/>
      <c r="Q285" s="27" t="s">
        <v>151</v>
      </c>
      <c r="R285" s="27" t="s">
        <v>152</v>
      </c>
      <c r="S285" s="27" t="n">
        <v>83</v>
      </c>
      <c r="T285" s="27"/>
    </row>
    <row r="286" customFormat="false" ht="15" hidden="false" customHeight="false" outlineLevel="0" collapsed="false">
      <c r="A286" s="26" t="n">
        <v>46069</v>
      </c>
      <c r="B286" s="27" t="n">
        <v>2026</v>
      </c>
      <c r="C286" s="27" t="n">
        <v>2</v>
      </c>
      <c r="D286" s="27" t="s">
        <v>81</v>
      </c>
      <c r="E286" s="27" t="s">
        <v>92</v>
      </c>
      <c r="F286" s="27" t="s">
        <v>105</v>
      </c>
      <c r="G286" s="27" t="s">
        <v>118</v>
      </c>
      <c r="H286" s="28" t="n">
        <v>1</v>
      </c>
      <c r="I286" s="29" t="n">
        <v>1180</v>
      </c>
      <c r="J286" s="29" t="n">
        <v>1180</v>
      </c>
      <c r="K286" s="29" t="n">
        <f aca="false">H286*I286</f>
        <v>1180</v>
      </c>
      <c r="L286" s="29" t="n">
        <f aca="false">IFERROR(INDEX(Cat_Productos!$B$2:$B$6,MATCH(G286,Cat_Productos!$A$2:$A$6,0)),"")</f>
        <v>590</v>
      </c>
      <c r="M286" s="29" t="n">
        <f aca="false">IF(L286="","",H286*L286)</f>
        <v>590</v>
      </c>
      <c r="N286" s="29" t="n">
        <f aca="false">IF(M286="","",J286-M286)</f>
        <v>590</v>
      </c>
      <c r="O286" s="30" t="n">
        <f aca="false">IFERROR(N286/J286,0)</f>
        <v>0.5</v>
      </c>
      <c r="P286" s="27"/>
      <c r="Q286" s="27" t="s">
        <v>151</v>
      </c>
      <c r="R286" s="27" t="s">
        <v>152</v>
      </c>
      <c r="S286" s="27" t="n">
        <v>25</v>
      </c>
      <c r="T286" s="27"/>
    </row>
    <row r="287" customFormat="false" ht="15" hidden="false" customHeight="false" outlineLevel="0" collapsed="false">
      <c r="A287" s="26" t="n">
        <v>46069</v>
      </c>
      <c r="B287" s="27" t="n">
        <v>2026</v>
      </c>
      <c r="C287" s="27" t="n">
        <v>2</v>
      </c>
      <c r="D287" s="27" t="s">
        <v>81</v>
      </c>
      <c r="E287" s="27" t="s">
        <v>92</v>
      </c>
      <c r="F287" s="27" t="s">
        <v>105</v>
      </c>
      <c r="G287" s="27" t="s">
        <v>114</v>
      </c>
      <c r="H287" s="28" t="n">
        <v>1</v>
      </c>
      <c r="I287" s="29" t="n">
        <v>23900</v>
      </c>
      <c r="J287" s="29" t="n">
        <v>23900</v>
      </c>
      <c r="K287" s="29" t="n">
        <f aca="false">H287*I287</f>
        <v>23900</v>
      </c>
      <c r="L287" s="29" t="n">
        <f aca="false">IFERROR(INDEX(Cat_Productos!$B$2:$B$6,MATCH(G287,Cat_Productos!$A$2:$A$6,0)),"")</f>
        <v>19200</v>
      </c>
      <c r="M287" s="29" t="n">
        <f aca="false">IF(L287="","",H287*L287)</f>
        <v>19200</v>
      </c>
      <c r="N287" s="29" t="n">
        <f aca="false">IF(M287="","",J287-M287)</f>
        <v>4700</v>
      </c>
      <c r="O287" s="30" t="n">
        <f aca="false">IFERROR(N287/J287,0)</f>
        <v>0.196652719665272</v>
      </c>
      <c r="P287" s="27"/>
      <c r="Q287" s="27" t="s">
        <v>151</v>
      </c>
      <c r="R287" s="27" t="s">
        <v>152</v>
      </c>
      <c r="S287" s="27" t="n">
        <v>5</v>
      </c>
      <c r="T287" s="27"/>
    </row>
    <row r="288" customFormat="false" ht="15" hidden="false" customHeight="false" outlineLevel="0" collapsed="false">
      <c r="A288" s="26" t="n">
        <v>46070</v>
      </c>
      <c r="B288" s="27" t="n">
        <v>2026</v>
      </c>
      <c r="C288" s="27" t="n">
        <v>2</v>
      </c>
      <c r="D288" s="27" t="s">
        <v>81</v>
      </c>
      <c r="E288" s="27" t="s">
        <v>91</v>
      </c>
      <c r="F288" s="27" t="s">
        <v>107</v>
      </c>
      <c r="G288" s="27" t="s">
        <v>117</v>
      </c>
      <c r="H288" s="28" t="n">
        <v>4</v>
      </c>
      <c r="I288" s="29" t="n">
        <v>1450</v>
      </c>
      <c r="J288" s="29" t="n">
        <v>5800</v>
      </c>
      <c r="K288" s="29" t="n">
        <f aca="false">H288*I288</f>
        <v>5800</v>
      </c>
      <c r="L288" s="29" t="n">
        <f aca="false">IFERROR(INDEX(Cat_Productos!$B$2:$B$6,MATCH(G288,Cat_Productos!$A$2:$A$6,0)),"")</f>
        <v>780</v>
      </c>
      <c r="M288" s="29" t="n">
        <f aca="false">IF(L288="","",H288*L288)</f>
        <v>3120</v>
      </c>
      <c r="N288" s="29" t="n">
        <f aca="false">IF(M288="","",J288-M288)</f>
        <v>2680</v>
      </c>
      <c r="O288" s="30" t="n">
        <f aca="false">IFERROR(N288/J288,0)</f>
        <v>0.462068965517241</v>
      </c>
      <c r="P288" s="27"/>
      <c r="Q288" s="27" t="s">
        <v>151</v>
      </c>
      <c r="R288" s="27" t="s">
        <v>152</v>
      </c>
      <c r="S288" s="27" t="n">
        <v>72</v>
      </c>
      <c r="T288" s="27"/>
    </row>
    <row r="289" customFormat="false" ht="15" hidden="false" customHeight="false" outlineLevel="0" collapsed="false">
      <c r="A289" s="26" t="n">
        <v>46070</v>
      </c>
      <c r="B289" s="27" t="n">
        <v>2026</v>
      </c>
      <c r="C289" s="27" t="n">
        <v>2</v>
      </c>
      <c r="D289" s="27" t="s">
        <v>81</v>
      </c>
      <c r="E289" s="27" t="s">
        <v>91</v>
      </c>
      <c r="F289" s="27" t="s">
        <v>107</v>
      </c>
      <c r="G289" s="27" t="s">
        <v>116</v>
      </c>
      <c r="H289" s="28" t="n">
        <v>6</v>
      </c>
      <c r="I289" s="29" t="n">
        <v>620</v>
      </c>
      <c r="J289" s="29" t="n">
        <v>3720</v>
      </c>
      <c r="K289" s="29" t="n">
        <f aca="false">H289*I289</f>
        <v>3720</v>
      </c>
      <c r="L289" s="29" t="n">
        <f aca="false">IFERROR(INDEX(Cat_Productos!$B$2:$B$6,MATCH(G289,Cat_Productos!$A$2:$A$6,0)),"")</f>
        <v>290</v>
      </c>
      <c r="M289" s="29" t="n">
        <f aca="false">IF(L289="","",H289*L289)</f>
        <v>1740</v>
      </c>
      <c r="N289" s="29" t="n">
        <f aca="false">IF(M289="","",J289-M289)</f>
        <v>1980</v>
      </c>
      <c r="O289" s="30" t="n">
        <f aca="false">IFERROR(N289/J289,0)</f>
        <v>0.532258064516129</v>
      </c>
      <c r="P289" s="27"/>
      <c r="Q289" s="27" t="s">
        <v>151</v>
      </c>
      <c r="R289" s="27" t="s">
        <v>152</v>
      </c>
      <c r="S289" s="27" t="n">
        <v>102</v>
      </c>
      <c r="T289" s="27"/>
    </row>
    <row r="290" customFormat="false" ht="15" hidden="false" customHeight="false" outlineLevel="0" collapsed="false">
      <c r="A290" s="26" t="n">
        <v>46070</v>
      </c>
      <c r="B290" s="27" t="n">
        <v>2026</v>
      </c>
      <c r="C290" s="27" t="n">
        <v>2</v>
      </c>
      <c r="D290" s="27" t="s">
        <v>81</v>
      </c>
      <c r="E290" s="27" t="s">
        <v>91</v>
      </c>
      <c r="F290" s="27" t="s">
        <v>103</v>
      </c>
      <c r="G290" s="27" t="s">
        <v>116</v>
      </c>
      <c r="H290" s="28" t="n">
        <v>4</v>
      </c>
      <c r="I290" s="29" t="n">
        <v>620</v>
      </c>
      <c r="J290" s="29" t="n">
        <v>2480</v>
      </c>
      <c r="K290" s="29" t="n">
        <f aca="false">H290*I290</f>
        <v>2480</v>
      </c>
      <c r="L290" s="29" t="n">
        <f aca="false">IFERROR(INDEX(Cat_Productos!$B$2:$B$6,MATCH(G290,Cat_Productos!$A$2:$A$6,0)),"")</f>
        <v>290</v>
      </c>
      <c r="M290" s="29" t="n">
        <f aca="false">IF(L290="","",H290*L290)</f>
        <v>1160</v>
      </c>
      <c r="N290" s="29" t="n">
        <f aca="false">IF(M290="","",J290-M290)</f>
        <v>1320</v>
      </c>
      <c r="O290" s="30" t="n">
        <f aca="false">IFERROR(N290/J290,0)</f>
        <v>0.532258064516129</v>
      </c>
      <c r="P290" s="27"/>
      <c r="Q290" s="27" t="s">
        <v>151</v>
      </c>
      <c r="R290" s="27" t="s">
        <v>152</v>
      </c>
      <c r="S290" s="27" t="n">
        <v>153</v>
      </c>
      <c r="T290" s="27"/>
    </row>
    <row r="291" customFormat="false" ht="15" hidden="false" customHeight="false" outlineLevel="0" collapsed="false">
      <c r="A291" s="26" t="n">
        <v>46070</v>
      </c>
      <c r="B291" s="27" t="n">
        <v>2026</v>
      </c>
      <c r="C291" s="27" t="n">
        <v>2</v>
      </c>
      <c r="D291" s="27" t="s">
        <v>81</v>
      </c>
      <c r="E291" s="27" t="s">
        <v>91</v>
      </c>
      <c r="F291" s="27" t="s">
        <v>103</v>
      </c>
      <c r="G291" s="27" t="s">
        <v>117</v>
      </c>
      <c r="H291" s="28" t="n">
        <v>4</v>
      </c>
      <c r="I291" s="29" t="n">
        <v>1450</v>
      </c>
      <c r="J291" s="29" t="n">
        <v>5800</v>
      </c>
      <c r="K291" s="29" t="n">
        <f aca="false">H291*I291</f>
        <v>5800</v>
      </c>
      <c r="L291" s="29" t="n">
        <f aca="false">IFERROR(INDEX(Cat_Productos!$B$2:$B$6,MATCH(G291,Cat_Productos!$A$2:$A$6,0)),"")</f>
        <v>780</v>
      </c>
      <c r="M291" s="29" t="n">
        <f aca="false">IF(L291="","",H291*L291)</f>
        <v>3120</v>
      </c>
      <c r="N291" s="29" t="n">
        <f aca="false">IF(M291="","",J291-M291)</f>
        <v>2680</v>
      </c>
      <c r="O291" s="30" t="n">
        <f aca="false">IFERROR(N291/J291,0)</f>
        <v>0.462068965517241</v>
      </c>
      <c r="P291" s="27"/>
      <c r="Q291" s="27" t="s">
        <v>151</v>
      </c>
      <c r="R291" s="27" t="s">
        <v>152</v>
      </c>
      <c r="S291" s="27" t="n">
        <v>131</v>
      </c>
      <c r="T291" s="27"/>
    </row>
    <row r="292" customFormat="false" ht="15" hidden="false" customHeight="false" outlineLevel="0" collapsed="false">
      <c r="A292" s="26" t="n">
        <v>46070</v>
      </c>
      <c r="B292" s="27" t="n">
        <v>2026</v>
      </c>
      <c r="C292" s="27" t="n">
        <v>2</v>
      </c>
      <c r="D292" s="27" t="s">
        <v>81</v>
      </c>
      <c r="E292" s="27" t="s">
        <v>91</v>
      </c>
      <c r="F292" s="27" t="s">
        <v>107</v>
      </c>
      <c r="G292" s="27" t="s">
        <v>114</v>
      </c>
      <c r="H292" s="28" t="n">
        <v>4</v>
      </c>
      <c r="I292" s="29" t="n">
        <v>23900</v>
      </c>
      <c r="J292" s="29" t="n">
        <v>95600</v>
      </c>
      <c r="K292" s="29" t="n">
        <f aca="false">H292*I292</f>
        <v>95600</v>
      </c>
      <c r="L292" s="29" t="n">
        <f aca="false">IFERROR(INDEX(Cat_Productos!$B$2:$B$6,MATCH(G292,Cat_Productos!$A$2:$A$6,0)),"")</f>
        <v>19200</v>
      </c>
      <c r="M292" s="29" t="n">
        <f aca="false">IF(L292="","",H292*L292)</f>
        <v>76800</v>
      </c>
      <c r="N292" s="29" t="n">
        <f aca="false">IF(M292="","",J292-M292)</f>
        <v>18800</v>
      </c>
      <c r="O292" s="30" t="n">
        <f aca="false">IFERROR(N292/J292,0)</f>
        <v>0.196652719665272</v>
      </c>
      <c r="P292" s="27"/>
      <c r="Q292" s="27" t="s">
        <v>151</v>
      </c>
      <c r="R292" s="27" t="s">
        <v>152</v>
      </c>
      <c r="S292" s="27" t="n">
        <v>68</v>
      </c>
      <c r="T292" s="27"/>
    </row>
    <row r="293" customFormat="false" ht="15" hidden="false" customHeight="false" outlineLevel="0" collapsed="false">
      <c r="A293" s="26" t="n">
        <v>46070</v>
      </c>
      <c r="B293" s="27" t="n">
        <v>2026</v>
      </c>
      <c r="C293" s="27" t="n">
        <v>2</v>
      </c>
      <c r="D293" s="27" t="s">
        <v>81</v>
      </c>
      <c r="E293" s="27" t="s">
        <v>93</v>
      </c>
      <c r="F293" s="27" t="s">
        <v>108</v>
      </c>
      <c r="G293" s="27" t="s">
        <v>116</v>
      </c>
      <c r="H293" s="28" t="n">
        <v>2</v>
      </c>
      <c r="I293" s="29" t="n">
        <v>620</v>
      </c>
      <c r="J293" s="29" t="n">
        <v>1240</v>
      </c>
      <c r="K293" s="29" t="n">
        <f aca="false">H293*I293</f>
        <v>1240</v>
      </c>
      <c r="L293" s="29" t="n">
        <f aca="false">IFERROR(INDEX(Cat_Productos!$B$2:$B$6,MATCH(G293,Cat_Productos!$A$2:$A$6,0)),"")</f>
        <v>290</v>
      </c>
      <c r="M293" s="29" t="n">
        <f aca="false">IF(L293="","",H293*L293)</f>
        <v>580</v>
      </c>
      <c r="N293" s="29" t="n">
        <f aca="false">IF(M293="","",J293-M293)</f>
        <v>660</v>
      </c>
      <c r="O293" s="30" t="n">
        <f aca="false">IFERROR(N293/J293,0)</f>
        <v>0.532258064516129</v>
      </c>
      <c r="P293" s="27"/>
      <c r="Q293" s="27" t="s">
        <v>151</v>
      </c>
      <c r="R293" s="27" t="s">
        <v>152</v>
      </c>
      <c r="S293" s="27" t="n">
        <v>58</v>
      </c>
      <c r="T293" s="27"/>
    </row>
    <row r="294" customFormat="false" ht="15" hidden="false" customHeight="false" outlineLevel="0" collapsed="false">
      <c r="A294" s="26" t="n">
        <v>46070</v>
      </c>
      <c r="B294" s="27" t="n">
        <v>2026</v>
      </c>
      <c r="C294" s="27" t="n">
        <v>2</v>
      </c>
      <c r="D294" s="27" t="s">
        <v>81</v>
      </c>
      <c r="E294" s="27" t="s">
        <v>91</v>
      </c>
      <c r="F294" s="27" t="s">
        <v>103</v>
      </c>
      <c r="G294" s="27" t="s">
        <v>117</v>
      </c>
      <c r="H294" s="28" t="n">
        <v>2</v>
      </c>
      <c r="I294" s="29" t="n">
        <v>1450</v>
      </c>
      <c r="J294" s="29" t="n">
        <v>2900</v>
      </c>
      <c r="K294" s="29" t="n">
        <f aca="false">H294*I294</f>
        <v>2900</v>
      </c>
      <c r="L294" s="29" t="n">
        <f aca="false">IFERROR(INDEX(Cat_Productos!$B$2:$B$6,MATCH(G294,Cat_Productos!$A$2:$A$6,0)),"")</f>
        <v>780</v>
      </c>
      <c r="M294" s="29" t="n">
        <f aca="false">IF(L294="","",H294*L294)</f>
        <v>1560</v>
      </c>
      <c r="N294" s="29" t="n">
        <f aca="false">IF(M294="","",J294-M294)</f>
        <v>1340</v>
      </c>
      <c r="O294" s="30" t="n">
        <f aca="false">IFERROR(N294/J294,0)</f>
        <v>0.462068965517241</v>
      </c>
      <c r="P294" s="27"/>
      <c r="Q294" s="27" t="s">
        <v>151</v>
      </c>
      <c r="R294" s="27" t="s">
        <v>152</v>
      </c>
      <c r="S294" s="27" t="n">
        <v>127</v>
      </c>
      <c r="T294" s="27"/>
    </row>
    <row r="295" customFormat="false" ht="15" hidden="false" customHeight="false" outlineLevel="0" collapsed="false">
      <c r="A295" s="26" t="n">
        <v>46070</v>
      </c>
      <c r="B295" s="27" t="n">
        <v>2026</v>
      </c>
      <c r="C295" s="27" t="n">
        <v>2</v>
      </c>
      <c r="D295" s="27" t="s">
        <v>81</v>
      </c>
      <c r="E295" s="27" t="s">
        <v>93</v>
      </c>
      <c r="F295" s="27" t="s">
        <v>108</v>
      </c>
      <c r="G295" s="27" t="s">
        <v>116</v>
      </c>
      <c r="H295" s="28" t="n">
        <v>2</v>
      </c>
      <c r="I295" s="29" t="n">
        <v>620</v>
      </c>
      <c r="J295" s="29" t="n">
        <v>1240</v>
      </c>
      <c r="K295" s="29" t="n">
        <f aca="false">H295*I295</f>
        <v>1240</v>
      </c>
      <c r="L295" s="29" t="n">
        <f aca="false">IFERROR(INDEX(Cat_Productos!$B$2:$B$6,MATCH(G295,Cat_Productos!$A$2:$A$6,0)),"")</f>
        <v>290</v>
      </c>
      <c r="M295" s="29" t="n">
        <f aca="false">IF(L295="","",H295*L295)</f>
        <v>580</v>
      </c>
      <c r="N295" s="29" t="n">
        <f aca="false">IF(M295="","",J295-M295)</f>
        <v>660</v>
      </c>
      <c r="O295" s="30" t="n">
        <f aca="false">IFERROR(N295/J295,0)</f>
        <v>0.532258064516129</v>
      </c>
      <c r="P295" s="27"/>
      <c r="Q295" s="27" t="s">
        <v>151</v>
      </c>
      <c r="R295" s="27" t="s">
        <v>152</v>
      </c>
      <c r="S295" s="27" t="n">
        <v>66</v>
      </c>
      <c r="T295" s="27"/>
    </row>
    <row r="296" customFormat="false" ht="15" hidden="false" customHeight="false" outlineLevel="0" collapsed="false">
      <c r="A296" s="26" t="n">
        <v>46071</v>
      </c>
      <c r="B296" s="27" t="n">
        <v>2026</v>
      </c>
      <c r="C296" s="27" t="n">
        <v>2</v>
      </c>
      <c r="D296" s="27" t="s">
        <v>81</v>
      </c>
      <c r="E296" s="27" t="s">
        <v>92</v>
      </c>
      <c r="F296" s="27" t="s">
        <v>105</v>
      </c>
      <c r="G296" s="27" t="s">
        <v>114</v>
      </c>
      <c r="H296" s="28" t="n">
        <v>1</v>
      </c>
      <c r="I296" s="29" t="n">
        <v>23900</v>
      </c>
      <c r="J296" s="29" t="n">
        <v>23900</v>
      </c>
      <c r="K296" s="29" t="n">
        <f aca="false">H296*I296</f>
        <v>23900</v>
      </c>
      <c r="L296" s="29" t="n">
        <f aca="false">IFERROR(INDEX(Cat_Productos!$B$2:$B$6,MATCH(G296,Cat_Productos!$A$2:$A$6,0)),"")</f>
        <v>19200</v>
      </c>
      <c r="M296" s="29" t="n">
        <f aca="false">IF(L296="","",H296*L296)</f>
        <v>19200</v>
      </c>
      <c r="N296" s="29" t="n">
        <f aca="false">IF(M296="","",J296-M296)</f>
        <v>4700</v>
      </c>
      <c r="O296" s="30" t="n">
        <f aca="false">IFERROR(N296/J296,0)</f>
        <v>0.196652719665272</v>
      </c>
      <c r="P296" s="27"/>
      <c r="Q296" s="27" t="s">
        <v>151</v>
      </c>
      <c r="R296" s="27" t="s">
        <v>152</v>
      </c>
      <c r="S296" s="27" t="n">
        <v>6</v>
      </c>
      <c r="T296" s="27"/>
    </row>
    <row r="297" customFormat="false" ht="15" hidden="false" customHeight="false" outlineLevel="0" collapsed="false">
      <c r="A297" s="26" t="n">
        <v>46071</v>
      </c>
      <c r="B297" s="27" t="n">
        <v>2026</v>
      </c>
      <c r="C297" s="27" t="n">
        <v>2</v>
      </c>
      <c r="D297" s="27" t="s">
        <v>81</v>
      </c>
      <c r="E297" s="27" t="s">
        <v>92</v>
      </c>
      <c r="F297" s="27" t="s">
        <v>105</v>
      </c>
      <c r="G297" s="27" t="s">
        <v>115</v>
      </c>
      <c r="H297" s="28" t="n">
        <v>1</v>
      </c>
      <c r="I297" s="29" t="n">
        <v>5900</v>
      </c>
      <c r="J297" s="29" t="n">
        <v>5900</v>
      </c>
      <c r="K297" s="29" t="n">
        <f aca="false">H297*I297</f>
        <v>5900</v>
      </c>
      <c r="L297" s="29" t="n">
        <f aca="false">IFERROR(INDEX(Cat_Productos!$B$2:$B$6,MATCH(G297,Cat_Productos!$A$2:$A$6,0)),"")</f>
        <v>4100</v>
      </c>
      <c r="M297" s="29" t="n">
        <f aca="false">IF(L297="","",H297*L297)</f>
        <v>4100</v>
      </c>
      <c r="N297" s="29" t="n">
        <f aca="false">IF(M297="","",J297-M297)</f>
        <v>1800</v>
      </c>
      <c r="O297" s="30" t="n">
        <f aca="false">IFERROR(N297/J297,0)</f>
        <v>0.305084745762712</v>
      </c>
      <c r="P297" s="27"/>
      <c r="Q297" s="27" t="s">
        <v>151</v>
      </c>
      <c r="R297" s="27" t="s">
        <v>152</v>
      </c>
      <c r="S297" s="27" t="n">
        <v>16</v>
      </c>
      <c r="T297" s="27"/>
    </row>
    <row r="298" customFormat="false" ht="15" hidden="false" customHeight="false" outlineLevel="0" collapsed="false">
      <c r="A298" s="26" t="n">
        <v>46071</v>
      </c>
      <c r="B298" s="27" t="n">
        <v>2026</v>
      </c>
      <c r="C298" s="27" t="n">
        <v>2</v>
      </c>
      <c r="D298" s="27" t="s">
        <v>81</v>
      </c>
      <c r="E298" s="27" t="s">
        <v>92</v>
      </c>
      <c r="F298" s="27" t="s">
        <v>105</v>
      </c>
      <c r="G298" s="27" t="s">
        <v>118</v>
      </c>
      <c r="H298" s="28" t="n">
        <v>1</v>
      </c>
      <c r="I298" s="29" t="n">
        <v>1180</v>
      </c>
      <c r="J298" s="29" t="n">
        <v>1180</v>
      </c>
      <c r="K298" s="29" t="n">
        <f aca="false">H298*I298</f>
        <v>1180</v>
      </c>
      <c r="L298" s="29" t="n">
        <f aca="false">IFERROR(INDEX(Cat_Productos!$B$2:$B$6,MATCH(G298,Cat_Productos!$A$2:$A$6,0)),"")</f>
        <v>590</v>
      </c>
      <c r="M298" s="29" t="n">
        <f aca="false">IF(L298="","",H298*L298)</f>
        <v>590</v>
      </c>
      <c r="N298" s="29" t="n">
        <f aca="false">IF(M298="","",J298-M298)</f>
        <v>590</v>
      </c>
      <c r="O298" s="30" t="n">
        <f aca="false">IFERROR(N298/J298,0)</f>
        <v>0.5</v>
      </c>
      <c r="P298" s="27"/>
      <c r="Q298" s="27" t="s">
        <v>151</v>
      </c>
      <c r="R298" s="27" t="s">
        <v>152</v>
      </c>
      <c r="S298" s="27" t="n">
        <v>24</v>
      </c>
      <c r="T298" s="27"/>
    </row>
    <row r="299" customFormat="false" ht="15" hidden="false" customHeight="false" outlineLevel="0" collapsed="false">
      <c r="A299" s="26" t="n">
        <v>46072</v>
      </c>
      <c r="B299" s="27" t="n">
        <v>2026</v>
      </c>
      <c r="C299" s="27" t="n">
        <v>2</v>
      </c>
      <c r="D299" s="27" t="s">
        <v>81</v>
      </c>
      <c r="E299" s="27" t="s">
        <v>93</v>
      </c>
      <c r="F299" s="27" t="s">
        <v>108</v>
      </c>
      <c r="G299" s="27" t="s">
        <v>116</v>
      </c>
      <c r="H299" s="28" t="n">
        <v>4</v>
      </c>
      <c r="I299" s="29" t="n">
        <v>620</v>
      </c>
      <c r="J299" s="29" t="n">
        <v>2480</v>
      </c>
      <c r="K299" s="29" t="n">
        <f aca="false">H299*I299</f>
        <v>2480</v>
      </c>
      <c r="L299" s="29" t="n">
        <f aca="false">IFERROR(INDEX(Cat_Productos!$B$2:$B$6,MATCH(G299,Cat_Productos!$A$2:$A$6,0)),"")</f>
        <v>290</v>
      </c>
      <c r="M299" s="29" t="n">
        <f aca="false">IF(L299="","",H299*L299)</f>
        <v>1160</v>
      </c>
      <c r="N299" s="29" t="n">
        <f aca="false">IF(M299="","",J299-M299)</f>
        <v>1320</v>
      </c>
      <c r="O299" s="30" t="n">
        <f aca="false">IFERROR(N299/J299,0)</f>
        <v>0.532258064516129</v>
      </c>
      <c r="P299" s="27"/>
      <c r="Q299" s="27" t="s">
        <v>151</v>
      </c>
      <c r="R299" s="27" t="s">
        <v>152</v>
      </c>
      <c r="S299" s="27" t="n">
        <v>61</v>
      </c>
      <c r="T299" s="27"/>
    </row>
    <row r="300" customFormat="false" ht="15" hidden="false" customHeight="false" outlineLevel="0" collapsed="false">
      <c r="A300" s="26" t="n">
        <v>46072</v>
      </c>
      <c r="B300" s="27" t="n">
        <v>2026</v>
      </c>
      <c r="C300" s="27" t="n">
        <v>2</v>
      </c>
      <c r="D300" s="27" t="s">
        <v>81</v>
      </c>
      <c r="E300" s="27" t="s">
        <v>91</v>
      </c>
      <c r="F300" s="27" t="s">
        <v>103</v>
      </c>
      <c r="G300" s="27" t="s">
        <v>116</v>
      </c>
      <c r="H300" s="28" t="n">
        <v>4</v>
      </c>
      <c r="I300" s="29" t="n">
        <v>620</v>
      </c>
      <c r="J300" s="29" t="n">
        <v>2480</v>
      </c>
      <c r="K300" s="29" t="n">
        <f aca="false">H300*I300</f>
        <v>2480</v>
      </c>
      <c r="L300" s="29" t="n">
        <f aca="false">IFERROR(INDEX(Cat_Productos!$B$2:$B$6,MATCH(G300,Cat_Productos!$A$2:$A$6,0)),"")</f>
        <v>290</v>
      </c>
      <c r="M300" s="29" t="n">
        <f aca="false">IF(L300="","",H300*L300)</f>
        <v>1160</v>
      </c>
      <c r="N300" s="29" t="n">
        <f aca="false">IF(M300="","",J300-M300)</f>
        <v>1320</v>
      </c>
      <c r="O300" s="30" t="n">
        <f aca="false">IFERROR(N300/J300,0)</f>
        <v>0.532258064516129</v>
      </c>
      <c r="P300" s="27"/>
      <c r="Q300" s="27" t="s">
        <v>151</v>
      </c>
      <c r="R300" s="27" t="s">
        <v>152</v>
      </c>
      <c r="S300" s="27" t="n">
        <v>144</v>
      </c>
      <c r="T300" s="27"/>
    </row>
    <row r="301" customFormat="false" ht="15" hidden="false" customHeight="false" outlineLevel="0" collapsed="false">
      <c r="A301" s="26" t="n">
        <v>46072</v>
      </c>
      <c r="B301" s="27" t="n">
        <v>2026</v>
      </c>
      <c r="C301" s="27" t="n">
        <v>2</v>
      </c>
      <c r="D301" s="27" t="s">
        <v>81</v>
      </c>
      <c r="E301" s="27" t="s">
        <v>93</v>
      </c>
      <c r="F301" s="27" t="s">
        <v>108</v>
      </c>
      <c r="G301" s="27" t="s">
        <v>116</v>
      </c>
      <c r="H301" s="28" t="n">
        <v>2</v>
      </c>
      <c r="I301" s="29" t="n">
        <v>620</v>
      </c>
      <c r="J301" s="29" t="n">
        <v>1240</v>
      </c>
      <c r="K301" s="29" t="n">
        <f aca="false">H301*I301</f>
        <v>1240</v>
      </c>
      <c r="L301" s="29" t="n">
        <f aca="false">IFERROR(INDEX(Cat_Productos!$B$2:$B$6,MATCH(G301,Cat_Productos!$A$2:$A$6,0)),"")</f>
        <v>290</v>
      </c>
      <c r="M301" s="29" t="n">
        <f aca="false">IF(L301="","",H301*L301)</f>
        <v>580</v>
      </c>
      <c r="N301" s="29" t="n">
        <f aca="false">IF(M301="","",J301-M301)</f>
        <v>660</v>
      </c>
      <c r="O301" s="30" t="n">
        <f aca="false">IFERROR(N301/J301,0)</f>
        <v>0.532258064516129</v>
      </c>
      <c r="P301" s="27"/>
      <c r="Q301" s="27" t="s">
        <v>151</v>
      </c>
      <c r="R301" s="27" t="s">
        <v>152</v>
      </c>
      <c r="S301" s="27" t="n">
        <v>55</v>
      </c>
      <c r="T301" s="27"/>
    </row>
    <row r="302" customFormat="false" ht="15" hidden="false" customHeight="false" outlineLevel="0" collapsed="false">
      <c r="A302" s="26" t="n">
        <v>46072</v>
      </c>
      <c r="B302" s="27" t="n">
        <v>2026</v>
      </c>
      <c r="C302" s="27" t="n">
        <v>2</v>
      </c>
      <c r="D302" s="27" t="s">
        <v>81</v>
      </c>
      <c r="E302" s="27" t="s">
        <v>91</v>
      </c>
      <c r="F302" s="27" t="s">
        <v>103</v>
      </c>
      <c r="G302" s="27" t="s">
        <v>117</v>
      </c>
      <c r="H302" s="28" t="n">
        <v>6</v>
      </c>
      <c r="I302" s="29" t="n">
        <v>1450</v>
      </c>
      <c r="J302" s="29" t="n">
        <v>8700</v>
      </c>
      <c r="K302" s="29" t="n">
        <f aca="false">H302*I302</f>
        <v>8700</v>
      </c>
      <c r="L302" s="29" t="n">
        <f aca="false">IFERROR(INDEX(Cat_Productos!$B$2:$B$6,MATCH(G302,Cat_Productos!$A$2:$A$6,0)),"")</f>
        <v>780</v>
      </c>
      <c r="M302" s="29" t="n">
        <f aca="false">IF(L302="","",H302*L302)</f>
        <v>4680</v>
      </c>
      <c r="N302" s="29" t="n">
        <f aca="false">IF(M302="","",J302-M302)</f>
        <v>4020</v>
      </c>
      <c r="O302" s="30" t="n">
        <f aca="false">IFERROR(N302/J302,0)</f>
        <v>0.462068965517241</v>
      </c>
      <c r="P302" s="27"/>
      <c r="Q302" s="27" t="s">
        <v>151</v>
      </c>
      <c r="R302" s="27" t="s">
        <v>152</v>
      </c>
      <c r="S302" s="27" t="n">
        <v>130</v>
      </c>
      <c r="T302" s="27"/>
    </row>
    <row r="303" customFormat="false" ht="15" hidden="false" customHeight="false" outlineLevel="0" collapsed="false">
      <c r="A303" s="26" t="n">
        <v>46072</v>
      </c>
      <c r="B303" s="27" t="n">
        <v>2026</v>
      </c>
      <c r="C303" s="27" t="n">
        <v>2</v>
      </c>
      <c r="D303" s="27" t="s">
        <v>81</v>
      </c>
      <c r="E303" s="27" t="s">
        <v>93</v>
      </c>
      <c r="F303" s="27" t="s">
        <v>108</v>
      </c>
      <c r="G303" s="27" t="s">
        <v>117</v>
      </c>
      <c r="H303" s="28" t="n">
        <v>2</v>
      </c>
      <c r="I303" s="29" t="n">
        <v>1450</v>
      </c>
      <c r="J303" s="29" t="n">
        <v>2900</v>
      </c>
      <c r="K303" s="29" t="n">
        <f aca="false">H303*I303</f>
        <v>2900</v>
      </c>
      <c r="L303" s="29" t="n">
        <f aca="false">IFERROR(INDEX(Cat_Productos!$B$2:$B$6,MATCH(G303,Cat_Productos!$A$2:$A$6,0)),"")</f>
        <v>780</v>
      </c>
      <c r="M303" s="29" t="n">
        <f aca="false">IF(L303="","",H303*L303)</f>
        <v>1560</v>
      </c>
      <c r="N303" s="29" t="n">
        <f aca="false">IF(M303="","",J303-M303)</f>
        <v>1340</v>
      </c>
      <c r="O303" s="30" t="n">
        <f aca="false">IFERROR(N303/J303,0)</f>
        <v>0.462068965517241</v>
      </c>
      <c r="P303" s="27"/>
      <c r="Q303" s="27" t="s">
        <v>151</v>
      </c>
      <c r="R303" s="27" t="s">
        <v>152</v>
      </c>
      <c r="S303" s="27" t="n">
        <v>39</v>
      </c>
      <c r="T303" s="27"/>
    </row>
    <row r="304" customFormat="false" ht="15" hidden="false" customHeight="false" outlineLevel="0" collapsed="false">
      <c r="A304" s="26" t="n">
        <v>46072</v>
      </c>
      <c r="B304" s="27" t="n">
        <v>2026</v>
      </c>
      <c r="C304" s="27" t="n">
        <v>2</v>
      </c>
      <c r="D304" s="27" t="s">
        <v>81</v>
      </c>
      <c r="E304" s="27" t="s">
        <v>93</v>
      </c>
      <c r="F304" s="27" t="s">
        <v>108</v>
      </c>
      <c r="G304" s="27" t="s">
        <v>116</v>
      </c>
      <c r="H304" s="28" t="n">
        <v>4</v>
      </c>
      <c r="I304" s="29" t="n">
        <v>620</v>
      </c>
      <c r="J304" s="29" t="n">
        <v>2480</v>
      </c>
      <c r="K304" s="29" t="n">
        <f aca="false">H304*I304</f>
        <v>2480</v>
      </c>
      <c r="L304" s="29" t="n">
        <f aca="false">IFERROR(INDEX(Cat_Productos!$B$2:$B$6,MATCH(G304,Cat_Productos!$A$2:$A$6,0)),"")</f>
        <v>290</v>
      </c>
      <c r="M304" s="29" t="n">
        <f aca="false">IF(L304="","",H304*L304)</f>
        <v>1160</v>
      </c>
      <c r="N304" s="29" t="n">
        <f aca="false">IF(M304="","",J304-M304)</f>
        <v>1320</v>
      </c>
      <c r="O304" s="30" t="n">
        <f aca="false">IFERROR(N304/J304,0)</f>
        <v>0.532258064516129</v>
      </c>
      <c r="P304" s="27"/>
      <c r="Q304" s="27" t="s">
        <v>151</v>
      </c>
      <c r="R304" s="27" t="s">
        <v>152</v>
      </c>
      <c r="S304" s="27" t="n">
        <v>63</v>
      </c>
      <c r="T304" s="27"/>
    </row>
    <row r="305" customFormat="false" ht="15" hidden="false" customHeight="false" outlineLevel="0" collapsed="false">
      <c r="A305" s="26" t="n">
        <v>46072</v>
      </c>
      <c r="B305" s="27" t="n">
        <v>2026</v>
      </c>
      <c r="C305" s="27" t="n">
        <v>2</v>
      </c>
      <c r="D305" s="27" t="s">
        <v>81</v>
      </c>
      <c r="E305" s="27" t="s">
        <v>91</v>
      </c>
      <c r="F305" s="27" t="s">
        <v>103</v>
      </c>
      <c r="G305" s="27" t="s">
        <v>116</v>
      </c>
      <c r="H305" s="28" t="n">
        <v>4</v>
      </c>
      <c r="I305" s="29" t="n">
        <v>620</v>
      </c>
      <c r="J305" s="29" t="n">
        <v>2480</v>
      </c>
      <c r="K305" s="29" t="n">
        <f aca="false">H305*I305</f>
        <v>2480</v>
      </c>
      <c r="L305" s="29" t="n">
        <f aca="false">IFERROR(INDEX(Cat_Productos!$B$2:$B$6,MATCH(G305,Cat_Productos!$A$2:$A$6,0)),"")</f>
        <v>290</v>
      </c>
      <c r="M305" s="29" t="n">
        <f aca="false">IF(L305="","",H305*L305)</f>
        <v>1160</v>
      </c>
      <c r="N305" s="29" t="n">
        <f aca="false">IF(M305="","",J305-M305)</f>
        <v>1320</v>
      </c>
      <c r="O305" s="30" t="n">
        <f aca="false">IFERROR(N305/J305,0)</f>
        <v>0.532258064516129</v>
      </c>
      <c r="P305" s="27"/>
      <c r="Q305" s="27" t="s">
        <v>151</v>
      </c>
      <c r="R305" s="27" t="s">
        <v>152</v>
      </c>
      <c r="S305" s="27" t="n">
        <v>138</v>
      </c>
      <c r="T305" s="27"/>
    </row>
    <row r="306" customFormat="false" ht="15" hidden="false" customHeight="false" outlineLevel="0" collapsed="false">
      <c r="A306" s="26" t="n">
        <v>46072</v>
      </c>
      <c r="B306" s="27" t="n">
        <v>2026</v>
      </c>
      <c r="C306" s="27" t="n">
        <v>2</v>
      </c>
      <c r="D306" s="27" t="s">
        <v>81</v>
      </c>
      <c r="E306" s="27" t="s">
        <v>91</v>
      </c>
      <c r="F306" s="27" t="s">
        <v>107</v>
      </c>
      <c r="G306" s="27" t="s">
        <v>116</v>
      </c>
      <c r="H306" s="28" t="n">
        <v>6</v>
      </c>
      <c r="I306" s="29" t="n">
        <v>620</v>
      </c>
      <c r="J306" s="29" t="n">
        <v>3720</v>
      </c>
      <c r="K306" s="29" t="n">
        <f aca="false">H306*I306</f>
        <v>3720</v>
      </c>
      <c r="L306" s="29" t="n">
        <f aca="false">IFERROR(INDEX(Cat_Productos!$B$2:$B$6,MATCH(G306,Cat_Productos!$A$2:$A$6,0)),"")</f>
        <v>290</v>
      </c>
      <c r="M306" s="29" t="n">
        <f aca="false">IF(L306="","",H306*L306)</f>
        <v>1740</v>
      </c>
      <c r="N306" s="29" t="n">
        <f aca="false">IF(M306="","",J306-M306)</f>
        <v>1980</v>
      </c>
      <c r="O306" s="30" t="n">
        <f aca="false">IFERROR(N306/J306,0)</f>
        <v>0.532258064516129</v>
      </c>
      <c r="P306" s="27"/>
      <c r="Q306" s="27" t="s">
        <v>151</v>
      </c>
      <c r="R306" s="27" t="s">
        <v>152</v>
      </c>
      <c r="S306" s="27" t="n">
        <v>99</v>
      </c>
      <c r="T306" s="27"/>
    </row>
    <row r="307" customFormat="false" ht="15" hidden="false" customHeight="false" outlineLevel="0" collapsed="false">
      <c r="A307" s="26" t="n">
        <v>46072</v>
      </c>
      <c r="B307" s="27" t="n">
        <v>2026</v>
      </c>
      <c r="C307" s="27" t="n">
        <v>2</v>
      </c>
      <c r="D307" s="27" t="s">
        <v>81</v>
      </c>
      <c r="E307" s="27" t="s">
        <v>91</v>
      </c>
      <c r="F307" s="27" t="s">
        <v>107</v>
      </c>
      <c r="G307" s="27" t="s">
        <v>116</v>
      </c>
      <c r="H307" s="28" t="n">
        <v>6</v>
      </c>
      <c r="I307" s="29" t="n">
        <v>620</v>
      </c>
      <c r="J307" s="29" t="n">
        <v>3720</v>
      </c>
      <c r="K307" s="29" t="n">
        <f aca="false">H307*I307</f>
        <v>3720</v>
      </c>
      <c r="L307" s="29" t="n">
        <f aca="false">IFERROR(INDEX(Cat_Productos!$B$2:$B$6,MATCH(G307,Cat_Productos!$A$2:$A$6,0)),"")</f>
        <v>290</v>
      </c>
      <c r="M307" s="29" t="n">
        <f aca="false">IF(L307="","",H307*L307)</f>
        <v>1740</v>
      </c>
      <c r="N307" s="29" t="n">
        <f aca="false">IF(M307="","",J307-M307)</f>
        <v>1980</v>
      </c>
      <c r="O307" s="30" t="n">
        <f aca="false">IFERROR(N307/J307,0)</f>
        <v>0.532258064516129</v>
      </c>
      <c r="P307" s="27"/>
      <c r="Q307" s="27" t="s">
        <v>151</v>
      </c>
      <c r="R307" s="27" t="s">
        <v>152</v>
      </c>
      <c r="S307" s="27" t="n">
        <v>91</v>
      </c>
      <c r="T307" s="27"/>
    </row>
    <row r="308" customFormat="false" ht="15" hidden="false" customHeight="false" outlineLevel="0" collapsed="false">
      <c r="A308" s="26" t="n">
        <v>46073</v>
      </c>
      <c r="B308" s="27" t="n">
        <v>2026</v>
      </c>
      <c r="C308" s="27" t="n">
        <v>2</v>
      </c>
      <c r="D308" s="27" t="s">
        <v>81</v>
      </c>
      <c r="E308" s="27" t="s">
        <v>92</v>
      </c>
      <c r="F308" s="27" t="s">
        <v>105</v>
      </c>
      <c r="G308" s="27" t="s">
        <v>114</v>
      </c>
      <c r="H308" s="28" t="n">
        <v>1</v>
      </c>
      <c r="I308" s="29" t="n">
        <v>23900</v>
      </c>
      <c r="J308" s="29" t="n">
        <v>23900</v>
      </c>
      <c r="K308" s="29" t="n">
        <f aca="false">H308*I308</f>
        <v>23900</v>
      </c>
      <c r="L308" s="29" t="n">
        <f aca="false">IFERROR(INDEX(Cat_Productos!$B$2:$B$6,MATCH(G308,Cat_Productos!$A$2:$A$6,0)),"")</f>
        <v>19200</v>
      </c>
      <c r="M308" s="29" t="n">
        <f aca="false">IF(L308="","",H308*L308)</f>
        <v>19200</v>
      </c>
      <c r="N308" s="29" t="n">
        <f aca="false">IF(M308="","",J308-M308)</f>
        <v>4700</v>
      </c>
      <c r="O308" s="30" t="n">
        <f aca="false">IFERROR(N308/J308,0)</f>
        <v>0.196652719665272</v>
      </c>
      <c r="P308" s="27"/>
      <c r="Q308" s="27" t="s">
        <v>151</v>
      </c>
      <c r="R308" s="27" t="s">
        <v>152</v>
      </c>
      <c r="S308" s="27" t="n">
        <v>9</v>
      </c>
      <c r="T308" s="27"/>
    </row>
    <row r="309" customFormat="false" ht="15" hidden="false" customHeight="false" outlineLevel="0" collapsed="false">
      <c r="A309" s="26" t="n">
        <v>46074</v>
      </c>
      <c r="B309" s="27" t="n">
        <v>2026</v>
      </c>
      <c r="C309" s="27" t="n">
        <v>2</v>
      </c>
      <c r="D309" s="27" t="s">
        <v>81</v>
      </c>
      <c r="E309" s="27" t="s">
        <v>91</v>
      </c>
      <c r="F309" s="27" t="s">
        <v>107</v>
      </c>
      <c r="G309" s="27" t="s">
        <v>117</v>
      </c>
      <c r="H309" s="28" t="n">
        <v>4</v>
      </c>
      <c r="I309" s="29" t="n">
        <v>1450</v>
      </c>
      <c r="J309" s="29" t="n">
        <v>5800</v>
      </c>
      <c r="K309" s="29" t="n">
        <f aca="false">H309*I309</f>
        <v>5800</v>
      </c>
      <c r="L309" s="29" t="n">
        <f aca="false">IFERROR(INDEX(Cat_Productos!$B$2:$B$6,MATCH(G309,Cat_Productos!$A$2:$A$6,0)),"")</f>
        <v>780</v>
      </c>
      <c r="M309" s="29" t="n">
        <f aca="false">IF(L309="","",H309*L309)</f>
        <v>3120</v>
      </c>
      <c r="N309" s="29" t="n">
        <f aca="false">IF(M309="","",J309-M309)</f>
        <v>2680</v>
      </c>
      <c r="O309" s="30" t="n">
        <f aca="false">IFERROR(N309/J309,0)</f>
        <v>0.462068965517241</v>
      </c>
      <c r="P309" s="27"/>
      <c r="Q309" s="27" t="s">
        <v>151</v>
      </c>
      <c r="R309" s="27" t="s">
        <v>152</v>
      </c>
      <c r="S309" s="27" t="n">
        <v>76</v>
      </c>
      <c r="T309" s="27"/>
    </row>
    <row r="310" customFormat="false" ht="15" hidden="false" customHeight="false" outlineLevel="0" collapsed="false">
      <c r="A310" s="26" t="n">
        <v>46074</v>
      </c>
      <c r="B310" s="27" t="n">
        <v>2026</v>
      </c>
      <c r="C310" s="27" t="n">
        <v>2</v>
      </c>
      <c r="D310" s="27" t="s">
        <v>81</v>
      </c>
      <c r="E310" s="27" t="s">
        <v>91</v>
      </c>
      <c r="F310" s="27" t="s">
        <v>103</v>
      </c>
      <c r="G310" s="27" t="s">
        <v>117</v>
      </c>
      <c r="H310" s="28" t="n">
        <v>4</v>
      </c>
      <c r="I310" s="29" t="n">
        <v>1450</v>
      </c>
      <c r="J310" s="29" t="n">
        <v>5800</v>
      </c>
      <c r="K310" s="29" t="n">
        <f aca="false">H310*I310</f>
        <v>5800</v>
      </c>
      <c r="L310" s="29" t="n">
        <f aca="false">IFERROR(INDEX(Cat_Productos!$B$2:$B$6,MATCH(G310,Cat_Productos!$A$2:$A$6,0)),"")</f>
        <v>780</v>
      </c>
      <c r="M310" s="29" t="n">
        <f aca="false">IF(L310="","",H310*L310)</f>
        <v>3120</v>
      </c>
      <c r="N310" s="29" t="n">
        <f aca="false">IF(M310="","",J310-M310)</f>
        <v>2680</v>
      </c>
      <c r="O310" s="30" t="n">
        <f aca="false">IFERROR(N310/J310,0)</f>
        <v>0.462068965517241</v>
      </c>
      <c r="P310" s="27"/>
      <c r="Q310" s="27" t="s">
        <v>151</v>
      </c>
      <c r="R310" s="27" t="s">
        <v>152</v>
      </c>
      <c r="S310" s="27" t="n">
        <v>119</v>
      </c>
      <c r="T310" s="27"/>
    </row>
    <row r="311" customFormat="false" ht="15" hidden="false" customHeight="false" outlineLevel="0" collapsed="false">
      <c r="A311" s="26" t="n">
        <v>46074</v>
      </c>
      <c r="B311" s="27" t="n">
        <v>2026</v>
      </c>
      <c r="C311" s="27" t="n">
        <v>2</v>
      </c>
      <c r="D311" s="27" t="s">
        <v>81</v>
      </c>
      <c r="E311" s="27" t="s">
        <v>91</v>
      </c>
      <c r="F311" s="27" t="s">
        <v>103</v>
      </c>
      <c r="G311" s="27" t="s">
        <v>117</v>
      </c>
      <c r="H311" s="28" t="n">
        <v>6</v>
      </c>
      <c r="I311" s="29" t="n">
        <v>1450</v>
      </c>
      <c r="J311" s="29" t="n">
        <v>8700</v>
      </c>
      <c r="K311" s="29" t="n">
        <f aca="false">H311*I311</f>
        <v>8700</v>
      </c>
      <c r="L311" s="29" t="n">
        <f aca="false">IFERROR(INDEX(Cat_Productos!$B$2:$B$6,MATCH(G311,Cat_Productos!$A$2:$A$6,0)),"")</f>
        <v>780</v>
      </c>
      <c r="M311" s="29" t="n">
        <f aca="false">IF(L311="","",H311*L311)</f>
        <v>4680</v>
      </c>
      <c r="N311" s="29" t="n">
        <f aca="false">IF(M311="","",J311-M311)</f>
        <v>4020</v>
      </c>
      <c r="O311" s="30" t="n">
        <f aca="false">IFERROR(N311/J311,0)</f>
        <v>0.462068965517241</v>
      </c>
      <c r="P311" s="27"/>
      <c r="Q311" s="27" t="s">
        <v>151</v>
      </c>
      <c r="R311" s="27" t="s">
        <v>152</v>
      </c>
      <c r="S311" s="27" t="n">
        <v>135</v>
      </c>
      <c r="T311" s="27"/>
    </row>
    <row r="312" customFormat="false" ht="15" hidden="false" customHeight="false" outlineLevel="0" collapsed="false">
      <c r="A312" s="26" t="n">
        <v>46074</v>
      </c>
      <c r="B312" s="27" t="n">
        <v>2026</v>
      </c>
      <c r="C312" s="27" t="n">
        <v>2</v>
      </c>
      <c r="D312" s="27" t="s">
        <v>81</v>
      </c>
      <c r="E312" s="27" t="s">
        <v>93</v>
      </c>
      <c r="F312" s="27" t="s">
        <v>108</v>
      </c>
      <c r="G312" s="27" t="s">
        <v>117</v>
      </c>
      <c r="H312" s="28" t="n">
        <v>6</v>
      </c>
      <c r="I312" s="29" t="n">
        <v>1450</v>
      </c>
      <c r="J312" s="29" t="n">
        <v>8700</v>
      </c>
      <c r="K312" s="29" t="n">
        <f aca="false">H312*I312</f>
        <v>8700</v>
      </c>
      <c r="L312" s="29" t="n">
        <f aca="false">IFERROR(INDEX(Cat_Productos!$B$2:$B$6,MATCH(G312,Cat_Productos!$A$2:$A$6,0)),"")</f>
        <v>780</v>
      </c>
      <c r="M312" s="29" t="n">
        <f aca="false">IF(L312="","",H312*L312)</f>
        <v>4680</v>
      </c>
      <c r="N312" s="29" t="n">
        <f aca="false">IF(M312="","",J312-M312)</f>
        <v>4020</v>
      </c>
      <c r="O312" s="30" t="n">
        <f aca="false">IFERROR(N312/J312,0)</f>
        <v>0.462068965517241</v>
      </c>
      <c r="P312" s="27"/>
      <c r="Q312" s="27" t="s">
        <v>151</v>
      </c>
      <c r="R312" s="27" t="s">
        <v>152</v>
      </c>
      <c r="S312" s="27" t="n">
        <v>38</v>
      </c>
      <c r="T312" s="27"/>
    </row>
    <row r="313" customFormat="false" ht="15" hidden="false" customHeight="false" outlineLevel="0" collapsed="false">
      <c r="A313" s="26" t="n">
        <v>46074</v>
      </c>
      <c r="B313" s="27" t="n">
        <v>2026</v>
      </c>
      <c r="C313" s="27" t="n">
        <v>2</v>
      </c>
      <c r="D313" s="27" t="s">
        <v>81</v>
      </c>
      <c r="E313" s="27" t="s">
        <v>91</v>
      </c>
      <c r="F313" s="27" t="s">
        <v>103</v>
      </c>
      <c r="G313" s="27" t="s">
        <v>117</v>
      </c>
      <c r="H313" s="28" t="n">
        <v>2</v>
      </c>
      <c r="I313" s="29" t="n">
        <v>1450</v>
      </c>
      <c r="J313" s="29" t="n">
        <v>2900</v>
      </c>
      <c r="K313" s="29" t="n">
        <f aca="false">H313*I313</f>
        <v>2900</v>
      </c>
      <c r="L313" s="29" t="n">
        <f aca="false">IFERROR(INDEX(Cat_Productos!$B$2:$B$6,MATCH(G313,Cat_Productos!$A$2:$A$6,0)),"")</f>
        <v>780</v>
      </c>
      <c r="M313" s="29" t="n">
        <f aca="false">IF(L313="","",H313*L313)</f>
        <v>1560</v>
      </c>
      <c r="N313" s="29" t="n">
        <f aca="false">IF(M313="","",J313-M313)</f>
        <v>1340</v>
      </c>
      <c r="O313" s="30" t="n">
        <f aca="false">IFERROR(N313/J313,0)</f>
        <v>0.462068965517241</v>
      </c>
      <c r="P313" s="27"/>
      <c r="Q313" s="27" t="s">
        <v>151</v>
      </c>
      <c r="R313" s="27" t="s">
        <v>152</v>
      </c>
      <c r="S313" s="27" t="n">
        <v>117</v>
      </c>
      <c r="T313" s="27"/>
    </row>
    <row r="314" customFormat="false" ht="15" hidden="false" customHeight="false" outlineLevel="0" collapsed="false">
      <c r="A314" s="26" t="n">
        <v>46074</v>
      </c>
      <c r="B314" s="27" t="n">
        <v>2026</v>
      </c>
      <c r="C314" s="27" t="n">
        <v>2</v>
      </c>
      <c r="D314" s="27" t="s">
        <v>81</v>
      </c>
      <c r="E314" s="27" t="s">
        <v>91</v>
      </c>
      <c r="F314" s="27" t="s">
        <v>103</v>
      </c>
      <c r="G314" s="27" t="s">
        <v>114</v>
      </c>
      <c r="H314" s="28" t="n">
        <v>6</v>
      </c>
      <c r="I314" s="29" t="n">
        <v>23900</v>
      </c>
      <c r="J314" s="29" t="n">
        <v>143400</v>
      </c>
      <c r="K314" s="29" t="n">
        <f aca="false">H314*I314</f>
        <v>143400</v>
      </c>
      <c r="L314" s="29" t="n">
        <f aca="false">IFERROR(INDEX(Cat_Productos!$B$2:$B$6,MATCH(G314,Cat_Productos!$A$2:$A$6,0)),"")</f>
        <v>19200</v>
      </c>
      <c r="M314" s="29" t="n">
        <f aca="false">IF(L314="","",H314*L314)</f>
        <v>115200</v>
      </c>
      <c r="N314" s="29" t="n">
        <f aca="false">IF(M314="","",J314-M314)</f>
        <v>28200</v>
      </c>
      <c r="O314" s="30" t="n">
        <f aca="false">IFERROR(N314/J314,0)</f>
        <v>0.196652719665272</v>
      </c>
      <c r="P314" s="27"/>
      <c r="Q314" s="27" t="s">
        <v>151</v>
      </c>
      <c r="R314" s="27" t="s">
        <v>152</v>
      </c>
      <c r="S314" s="27" t="n">
        <v>111</v>
      </c>
      <c r="T314" s="27"/>
    </row>
    <row r="315" customFormat="false" ht="15" hidden="false" customHeight="false" outlineLevel="0" collapsed="false">
      <c r="A315" s="26" t="n">
        <v>46074</v>
      </c>
      <c r="B315" s="27" t="n">
        <v>2026</v>
      </c>
      <c r="C315" s="27" t="n">
        <v>2</v>
      </c>
      <c r="D315" s="27" t="s">
        <v>81</v>
      </c>
      <c r="E315" s="27" t="s">
        <v>93</v>
      </c>
      <c r="F315" s="27" t="s">
        <v>104</v>
      </c>
      <c r="G315" s="27" t="s">
        <v>116</v>
      </c>
      <c r="H315" s="28" t="n">
        <v>2</v>
      </c>
      <c r="I315" s="29" t="n">
        <v>620</v>
      </c>
      <c r="J315" s="29" t="n">
        <v>1240</v>
      </c>
      <c r="K315" s="29" t="n">
        <f aca="false">H315*I315</f>
        <v>1240</v>
      </c>
      <c r="L315" s="29" t="n">
        <f aca="false">IFERROR(INDEX(Cat_Productos!$B$2:$B$6,MATCH(G315,Cat_Productos!$A$2:$A$6,0)),"")</f>
        <v>290</v>
      </c>
      <c r="M315" s="29" t="n">
        <f aca="false">IF(L315="","",H315*L315)</f>
        <v>580</v>
      </c>
      <c r="N315" s="29" t="n">
        <f aca="false">IF(M315="","",J315-M315)</f>
        <v>660</v>
      </c>
      <c r="O315" s="30" t="n">
        <f aca="false">IFERROR(N315/J315,0)</f>
        <v>0.532258064516129</v>
      </c>
      <c r="P315" s="27"/>
      <c r="Q315" s="27" t="s">
        <v>151</v>
      </c>
      <c r="R315" s="27" t="s">
        <v>152</v>
      </c>
      <c r="S315" s="27" t="n">
        <v>170</v>
      </c>
      <c r="T315" s="27"/>
    </row>
    <row r="316" customFormat="false" ht="15" hidden="false" customHeight="false" outlineLevel="0" collapsed="false">
      <c r="A316" s="26" t="n">
        <v>46074</v>
      </c>
      <c r="B316" s="27" t="n">
        <v>2026</v>
      </c>
      <c r="C316" s="27" t="n">
        <v>2</v>
      </c>
      <c r="D316" s="27" t="s">
        <v>81</v>
      </c>
      <c r="E316" s="27" t="s">
        <v>91</v>
      </c>
      <c r="F316" s="27" t="s">
        <v>103</v>
      </c>
      <c r="G316" s="27" t="s">
        <v>114</v>
      </c>
      <c r="H316" s="28" t="n">
        <v>4</v>
      </c>
      <c r="I316" s="29" t="n">
        <v>23900</v>
      </c>
      <c r="J316" s="29" t="n">
        <v>95600</v>
      </c>
      <c r="K316" s="29" t="n">
        <f aca="false">H316*I316</f>
        <v>95600</v>
      </c>
      <c r="L316" s="29" t="n">
        <f aca="false">IFERROR(INDEX(Cat_Productos!$B$2:$B$6,MATCH(G316,Cat_Productos!$A$2:$A$6,0)),"")</f>
        <v>19200</v>
      </c>
      <c r="M316" s="29" t="n">
        <f aca="false">IF(L316="","",H316*L316)</f>
        <v>76800</v>
      </c>
      <c r="N316" s="29" t="n">
        <f aca="false">IF(M316="","",J316-M316)</f>
        <v>18800</v>
      </c>
      <c r="O316" s="30" t="n">
        <f aca="false">IFERROR(N316/J316,0)</f>
        <v>0.196652719665272</v>
      </c>
      <c r="P316" s="27"/>
      <c r="Q316" s="27" t="s">
        <v>151</v>
      </c>
      <c r="R316" s="27" t="s">
        <v>152</v>
      </c>
      <c r="S316" s="27" t="n">
        <v>113</v>
      </c>
      <c r="T316" s="27"/>
    </row>
    <row r="317" customFormat="false" ht="15" hidden="false" customHeight="false" outlineLevel="0" collapsed="false">
      <c r="A317" s="26" t="n">
        <v>46074</v>
      </c>
      <c r="B317" s="27" t="n">
        <v>2026</v>
      </c>
      <c r="C317" s="27" t="n">
        <v>2</v>
      </c>
      <c r="D317" s="27" t="s">
        <v>81</v>
      </c>
      <c r="E317" s="27" t="s">
        <v>91</v>
      </c>
      <c r="F317" s="27" t="s">
        <v>107</v>
      </c>
      <c r="G317" s="27" t="s">
        <v>117</v>
      </c>
      <c r="H317" s="28" t="n">
        <v>2</v>
      </c>
      <c r="I317" s="29" t="n">
        <v>1450</v>
      </c>
      <c r="J317" s="29" t="n">
        <v>2900</v>
      </c>
      <c r="K317" s="29" t="n">
        <f aca="false">H317*I317</f>
        <v>2900</v>
      </c>
      <c r="L317" s="29" t="n">
        <f aca="false">IFERROR(INDEX(Cat_Productos!$B$2:$B$6,MATCH(G317,Cat_Productos!$A$2:$A$6,0)),"")</f>
        <v>780</v>
      </c>
      <c r="M317" s="29" t="n">
        <f aca="false">IF(L317="","",H317*L317)</f>
        <v>1560</v>
      </c>
      <c r="N317" s="29" t="n">
        <f aca="false">IF(M317="","",J317-M317)</f>
        <v>1340</v>
      </c>
      <c r="O317" s="30" t="n">
        <f aca="false">IFERROR(N317/J317,0)</f>
        <v>0.462068965517241</v>
      </c>
      <c r="P317" s="27"/>
      <c r="Q317" s="27" t="s">
        <v>151</v>
      </c>
      <c r="R317" s="27" t="s">
        <v>152</v>
      </c>
      <c r="S317" s="27" t="n">
        <v>86</v>
      </c>
      <c r="T317" s="27"/>
    </row>
    <row r="318" customFormat="false" ht="15" hidden="false" customHeight="false" outlineLevel="0" collapsed="false">
      <c r="A318" s="26" t="n">
        <v>46075</v>
      </c>
      <c r="B318" s="27" t="n">
        <v>2026</v>
      </c>
      <c r="C318" s="27" t="n">
        <v>2</v>
      </c>
      <c r="D318" s="27" t="s">
        <v>81</v>
      </c>
      <c r="E318" s="27" t="s">
        <v>92</v>
      </c>
      <c r="F318" s="27" t="s">
        <v>105</v>
      </c>
      <c r="G318" s="27" t="s">
        <v>118</v>
      </c>
      <c r="H318" s="28" t="n">
        <v>3</v>
      </c>
      <c r="I318" s="29" t="n">
        <v>1180</v>
      </c>
      <c r="J318" s="29" t="n">
        <v>3540</v>
      </c>
      <c r="K318" s="29" t="n">
        <f aca="false">H318*I318</f>
        <v>3540</v>
      </c>
      <c r="L318" s="29" t="n">
        <f aca="false">IFERROR(INDEX(Cat_Productos!$B$2:$B$6,MATCH(G318,Cat_Productos!$A$2:$A$6,0)),"")</f>
        <v>590</v>
      </c>
      <c r="M318" s="29" t="n">
        <f aca="false">IF(L318="","",H318*L318)</f>
        <v>1770</v>
      </c>
      <c r="N318" s="29" t="n">
        <f aca="false">IF(M318="","",J318-M318)</f>
        <v>1770</v>
      </c>
      <c r="O318" s="30" t="n">
        <f aca="false">IFERROR(N318/J318,0)</f>
        <v>0.5</v>
      </c>
      <c r="P318" s="27"/>
      <c r="Q318" s="27" t="s">
        <v>151</v>
      </c>
      <c r="R318" s="27" t="s">
        <v>152</v>
      </c>
      <c r="S318" s="27" t="n">
        <v>32</v>
      </c>
      <c r="T318" s="27"/>
    </row>
    <row r="319" customFormat="false" ht="15" hidden="false" customHeight="false" outlineLevel="0" collapsed="false">
      <c r="A319" s="26" t="n">
        <v>46075</v>
      </c>
      <c r="B319" s="27" t="n">
        <v>2026</v>
      </c>
      <c r="C319" s="27" t="n">
        <v>2</v>
      </c>
      <c r="D319" s="27" t="s">
        <v>81</v>
      </c>
      <c r="E319" s="27" t="s">
        <v>92</v>
      </c>
      <c r="F319" s="27" t="s">
        <v>105</v>
      </c>
      <c r="G319" s="27" t="s">
        <v>114</v>
      </c>
      <c r="H319" s="28" t="n">
        <v>5</v>
      </c>
      <c r="I319" s="29" t="n">
        <v>23900</v>
      </c>
      <c r="J319" s="29" t="n">
        <v>119500</v>
      </c>
      <c r="K319" s="29" t="n">
        <f aca="false">H319*I319</f>
        <v>119500</v>
      </c>
      <c r="L319" s="29" t="n">
        <f aca="false">IFERROR(INDEX(Cat_Productos!$B$2:$B$6,MATCH(G319,Cat_Productos!$A$2:$A$6,0)),"")</f>
        <v>19200</v>
      </c>
      <c r="M319" s="29" t="n">
        <f aca="false">IF(L319="","",H319*L319)</f>
        <v>96000</v>
      </c>
      <c r="N319" s="29" t="n">
        <f aca="false">IF(M319="","",J319-M319)</f>
        <v>23500</v>
      </c>
      <c r="O319" s="30" t="n">
        <f aca="false">IFERROR(N319/J319,0)</f>
        <v>0.196652719665272</v>
      </c>
      <c r="P319" s="27"/>
      <c r="Q319" s="27" t="s">
        <v>151</v>
      </c>
      <c r="R319" s="27" t="s">
        <v>152</v>
      </c>
      <c r="S319" s="27" t="n">
        <v>4</v>
      </c>
      <c r="T319" s="27"/>
    </row>
    <row r="320" customFormat="false" ht="15" hidden="false" customHeight="false" outlineLevel="0" collapsed="false">
      <c r="A320" s="26" t="n">
        <v>46076</v>
      </c>
      <c r="B320" s="27" t="n">
        <v>2026</v>
      </c>
      <c r="C320" s="27" t="n">
        <v>2</v>
      </c>
      <c r="D320" s="27" t="s">
        <v>81</v>
      </c>
      <c r="E320" s="27" t="s">
        <v>93</v>
      </c>
      <c r="F320" s="27" t="s">
        <v>104</v>
      </c>
      <c r="G320" s="27" t="s">
        <v>116</v>
      </c>
      <c r="H320" s="28" t="n">
        <v>3</v>
      </c>
      <c r="I320" s="29" t="n">
        <v>620</v>
      </c>
      <c r="J320" s="29" t="n">
        <v>1860</v>
      </c>
      <c r="K320" s="29" t="n">
        <f aca="false">H320*I320</f>
        <v>1860</v>
      </c>
      <c r="L320" s="29" t="n">
        <f aca="false">IFERROR(INDEX(Cat_Productos!$B$2:$B$6,MATCH(G320,Cat_Productos!$A$2:$A$6,0)),"")</f>
        <v>290</v>
      </c>
      <c r="M320" s="29" t="n">
        <f aca="false">IF(L320="","",H320*L320)</f>
        <v>870</v>
      </c>
      <c r="N320" s="29" t="n">
        <f aca="false">IF(M320="","",J320-M320)</f>
        <v>990</v>
      </c>
      <c r="O320" s="30" t="n">
        <f aca="false">IFERROR(N320/J320,0)</f>
        <v>0.532258064516129</v>
      </c>
      <c r="P320" s="27"/>
      <c r="Q320" s="27" t="s">
        <v>151</v>
      </c>
      <c r="R320" s="27" t="s">
        <v>152</v>
      </c>
      <c r="S320" s="27" t="n">
        <v>179</v>
      </c>
      <c r="T320" s="27"/>
    </row>
    <row r="321" customFormat="false" ht="15" hidden="false" customHeight="false" outlineLevel="0" collapsed="false">
      <c r="A321" s="26" t="n">
        <v>46076</v>
      </c>
      <c r="B321" s="27" t="n">
        <v>2026</v>
      </c>
      <c r="C321" s="27" t="n">
        <v>2</v>
      </c>
      <c r="D321" s="27" t="s">
        <v>81</v>
      </c>
      <c r="E321" s="27" t="s">
        <v>93</v>
      </c>
      <c r="F321" s="27" t="s">
        <v>104</v>
      </c>
      <c r="G321" s="27" t="s">
        <v>117</v>
      </c>
      <c r="H321" s="28" t="n">
        <v>3</v>
      </c>
      <c r="I321" s="29" t="n">
        <v>1450</v>
      </c>
      <c r="J321" s="29" t="n">
        <v>4350</v>
      </c>
      <c r="K321" s="29" t="n">
        <f aca="false">H321*I321</f>
        <v>4350</v>
      </c>
      <c r="L321" s="29" t="n">
        <f aca="false">IFERROR(INDEX(Cat_Productos!$B$2:$B$6,MATCH(G321,Cat_Productos!$A$2:$A$6,0)),"")</f>
        <v>780</v>
      </c>
      <c r="M321" s="29" t="n">
        <f aca="false">IF(L321="","",H321*L321)</f>
        <v>2340</v>
      </c>
      <c r="N321" s="29" t="n">
        <f aca="false">IF(M321="","",J321-M321)</f>
        <v>2010</v>
      </c>
      <c r="O321" s="30" t="n">
        <f aca="false">IFERROR(N321/J321,0)</f>
        <v>0.462068965517241</v>
      </c>
      <c r="P321" s="27"/>
      <c r="Q321" s="27" t="s">
        <v>151</v>
      </c>
      <c r="R321" s="27" t="s">
        <v>152</v>
      </c>
      <c r="S321" s="27" t="n">
        <v>169</v>
      </c>
      <c r="T321" s="27"/>
    </row>
    <row r="322" customFormat="false" ht="15" hidden="false" customHeight="false" outlineLevel="0" collapsed="false">
      <c r="A322" s="26" t="n">
        <v>46076</v>
      </c>
      <c r="B322" s="27" t="n">
        <v>2026</v>
      </c>
      <c r="C322" s="27" t="n">
        <v>2</v>
      </c>
      <c r="D322" s="27" t="s">
        <v>81</v>
      </c>
      <c r="E322" s="27" t="s">
        <v>91</v>
      </c>
      <c r="F322" s="27" t="s">
        <v>103</v>
      </c>
      <c r="G322" s="27" t="s">
        <v>116</v>
      </c>
      <c r="H322" s="28" t="n">
        <v>6</v>
      </c>
      <c r="I322" s="29" t="n">
        <v>620</v>
      </c>
      <c r="J322" s="29" t="n">
        <v>3720</v>
      </c>
      <c r="K322" s="29" t="n">
        <f aca="false">H322*I322</f>
        <v>3720</v>
      </c>
      <c r="L322" s="29" t="n">
        <f aca="false">IFERROR(INDEX(Cat_Productos!$B$2:$B$6,MATCH(G322,Cat_Productos!$A$2:$A$6,0)),"")</f>
        <v>290</v>
      </c>
      <c r="M322" s="29" t="n">
        <f aca="false">IF(L322="","",H322*L322)</f>
        <v>1740</v>
      </c>
      <c r="N322" s="29" t="n">
        <f aca="false">IF(M322="","",J322-M322)</f>
        <v>1980</v>
      </c>
      <c r="O322" s="30" t="n">
        <f aca="false">IFERROR(N322/J322,0)</f>
        <v>0.532258064516129</v>
      </c>
      <c r="P322" s="27"/>
      <c r="Q322" s="27" t="s">
        <v>151</v>
      </c>
      <c r="R322" s="27" t="s">
        <v>152</v>
      </c>
      <c r="S322" s="27" t="n">
        <v>150</v>
      </c>
      <c r="T322" s="27"/>
    </row>
    <row r="323" customFormat="false" ht="15" hidden="false" customHeight="false" outlineLevel="0" collapsed="false">
      <c r="A323" s="26" t="n">
        <v>46076</v>
      </c>
      <c r="B323" s="27" t="n">
        <v>2026</v>
      </c>
      <c r="C323" s="27" t="n">
        <v>2</v>
      </c>
      <c r="D323" s="27" t="s">
        <v>81</v>
      </c>
      <c r="E323" s="27" t="s">
        <v>93</v>
      </c>
      <c r="F323" s="27" t="s">
        <v>108</v>
      </c>
      <c r="G323" s="27" t="s">
        <v>117</v>
      </c>
      <c r="H323" s="28" t="n">
        <v>4</v>
      </c>
      <c r="I323" s="29" t="n">
        <v>1450</v>
      </c>
      <c r="J323" s="29" t="n">
        <v>5800</v>
      </c>
      <c r="K323" s="29" t="n">
        <f aca="false">H323*I323</f>
        <v>5800</v>
      </c>
      <c r="L323" s="29" t="n">
        <f aca="false">IFERROR(INDEX(Cat_Productos!$B$2:$B$6,MATCH(G323,Cat_Productos!$A$2:$A$6,0)),"")</f>
        <v>780</v>
      </c>
      <c r="M323" s="29" t="n">
        <f aca="false">IF(L323="","",H323*L323)</f>
        <v>3120</v>
      </c>
      <c r="N323" s="29" t="n">
        <f aca="false">IF(M323="","",J323-M323)</f>
        <v>2680</v>
      </c>
      <c r="O323" s="30" t="n">
        <f aca="false">IFERROR(N323/J323,0)</f>
        <v>0.462068965517241</v>
      </c>
      <c r="P323" s="27"/>
      <c r="Q323" s="27" t="s">
        <v>151</v>
      </c>
      <c r="R323" s="27" t="s">
        <v>152</v>
      </c>
      <c r="S323" s="27" t="n">
        <v>51</v>
      </c>
      <c r="T323" s="27"/>
    </row>
    <row r="324" customFormat="false" ht="15" hidden="false" customHeight="false" outlineLevel="0" collapsed="false">
      <c r="A324" s="26" t="n">
        <v>46076</v>
      </c>
      <c r="B324" s="27" t="n">
        <v>2026</v>
      </c>
      <c r="C324" s="27" t="n">
        <v>2</v>
      </c>
      <c r="D324" s="27" t="s">
        <v>81</v>
      </c>
      <c r="E324" s="27" t="s">
        <v>91</v>
      </c>
      <c r="F324" s="27" t="s">
        <v>103</v>
      </c>
      <c r="G324" s="27" t="s">
        <v>116</v>
      </c>
      <c r="H324" s="28" t="n">
        <v>4</v>
      </c>
      <c r="I324" s="29" t="n">
        <v>620</v>
      </c>
      <c r="J324" s="29" t="n">
        <v>2480</v>
      </c>
      <c r="K324" s="29" t="n">
        <f aca="false">H324*I324</f>
        <v>2480</v>
      </c>
      <c r="L324" s="29" t="n">
        <f aca="false">IFERROR(INDEX(Cat_Productos!$B$2:$B$6,MATCH(G324,Cat_Productos!$A$2:$A$6,0)),"")</f>
        <v>290</v>
      </c>
      <c r="M324" s="29" t="n">
        <f aca="false">IF(L324="","",H324*L324)</f>
        <v>1160</v>
      </c>
      <c r="N324" s="29" t="n">
        <f aca="false">IF(M324="","",J324-M324)</f>
        <v>1320</v>
      </c>
      <c r="O324" s="30" t="n">
        <f aca="false">IFERROR(N324/J324,0)</f>
        <v>0.532258064516129</v>
      </c>
      <c r="P324" s="27"/>
      <c r="Q324" s="27" t="s">
        <v>151</v>
      </c>
      <c r="R324" s="27" t="s">
        <v>152</v>
      </c>
      <c r="S324" s="27" t="n">
        <v>140</v>
      </c>
      <c r="T324" s="27"/>
    </row>
    <row r="325" customFormat="false" ht="15" hidden="false" customHeight="false" outlineLevel="0" collapsed="false">
      <c r="A325" s="26" t="n">
        <v>46076</v>
      </c>
      <c r="B325" s="27" t="n">
        <v>2026</v>
      </c>
      <c r="C325" s="27" t="n">
        <v>2</v>
      </c>
      <c r="D325" s="27" t="s">
        <v>81</v>
      </c>
      <c r="E325" s="27" t="s">
        <v>91</v>
      </c>
      <c r="F325" s="27" t="s">
        <v>103</v>
      </c>
      <c r="G325" s="27" t="s">
        <v>114</v>
      </c>
      <c r="H325" s="28" t="n">
        <v>2</v>
      </c>
      <c r="I325" s="29" t="n">
        <v>23900</v>
      </c>
      <c r="J325" s="29" t="n">
        <v>47800</v>
      </c>
      <c r="K325" s="29" t="n">
        <f aca="false">H325*I325</f>
        <v>47800</v>
      </c>
      <c r="L325" s="29" t="n">
        <f aca="false">IFERROR(INDEX(Cat_Productos!$B$2:$B$6,MATCH(G325,Cat_Productos!$A$2:$A$6,0)),"")</f>
        <v>19200</v>
      </c>
      <c r="M325" s="29" t="n">
        <f aca="false">IF(L325="","",H325*L325)</f>
        <v>38400</v>
      </c>
      <c r="N325" s="29" t="n">
        <f aca="false">IF(M325="","",J325-M325)</f>
        <v>9400</v>
      </c>
      <c r="O325" s="30" t="n">
        <f aca="false">IFERROR(N325/J325,0)</f>
        <v>0.196652719665272</v>
      </c>
      <c r="P325" s="27"/>
      <c r="Q325" s="27" t="s">
        <v>151</v>
      </c>
      <c r="R325" s="27" t="s">
        <v>152</v>
      </c>
      <c r="S325" s="27" t="n">
        <v>114</v>
      </c>
      <c r="T325" s="27"/>
    </row>
    <row r="326" customFormat="false" ht="15" hidden="false" customHeight="false" outlineLevel="0" collapsed="false">
      <c r="A326" s="26" t="n">
        <v>46076</v>
      </c>
      <c r="B326" s="27" t="n">
        <v>2026</v>
      </c>
      <c r="C326" s="27" t="n">
        <v>2</v>
      </c>
      <c r="D326" s="27" t="s">
        <v>81</v>
      </c>
      <c r="E326" s="27" t="s">
        <v>93</v>
      </c>
      <c r="F326" s="27" t="s">
        <v>104</v>
      </c>
      <c r="G326" s="27" t="s">
        <v>116</v>
      </c>
      <c r="H326" s="28" t="n">
        <v>2</v>
      </c>
      <c r="I326" s="29" t="n">
        <v>620</v>
      </c>
      <c r="J326" s="29" t="n">
        <v>1240</v>
      </c>
      <c r="K326" s="29" t="n">
        <f aca="false">H326*I326</f>
        <v>1240</v>
      </c>
      <c r="L326" s="29" t="n">
        <f aca="false">IFERROR(INDEX(Cat_Productos!$B$2:$B$6,MATCH(G326,Cat_Productos!$A$2:$A$6,0)),"")</f>
        <v>290</v>
      </c>
      <c r="M326" s="29" t="n">
        <f aca="false">IF(L326="","",H326*L326)</f>
        <v>580</v>
      </c>
      <c r="N326" s="29" t="n">
        <f aca="false">IF(M326="","",J326-M326)</f>
        <v>660</v>
      </c>
      <c r="O326" s="30" t="n">
        <f aca="false">IFERROR(N326/J326,0)</f>
        <v>0.532258064516129</v>
      </c>
      <c r="P326" s="27"/>
      <c r="Q326" s="27" t="s">
        <v>151</v>
      </c>
      <c r="R326" s="27" t="s">
        <v>152</v>
      </c>
      <c r="S326" s="27" t="n">
        <v>177</v>
      </c>
      <c r="T326" s="27"/>
    </row>
    <row r="327" customFormat="false" ht="15" hidden="false" customHeight="false" outlineLevel="0" collapsed="false">
      <c r="A327" s="26" t="n">
        <v>46076</v>
      </c>
      <c r="B327" s="27" t="n">
        <v>2026</v>
      </c>
      <c r="C327" s="27" t="n">
        <v>2</v>
      </c>
      <c r="D327" s="27" t="s">
        <v>81</v>
      </c>
      <c r="E327" s="27" t="s">
        <v>91</v>
      </c>
      <c r="F327" s="27" t="s">
        <v>103</v>
      </c>
      <c r="G327" s="27" t="s">
        <v>117</v>
      </c>
      <c r="H327" s="28" t="n">
        <v>4</v>
      </c>
      <c r="I327" s="29" t="n">
        <v>1450</v>
      </c>
      <c r="J327" s="29" t="n">
        <v>5800</v>
      </c>
      <c r="K327" s="29" t="n">
        <f aca="false">H327*I327</f>
        <v>5800</v>
      </c>
      <c r="L327" s="29" t="n">
        <f aca="false">IFERROR(INDEX(Cat_Productos!$B$2:$B$6,MATCH(G327,Cat_Productos!$A$2:$A$6,0)),"")</f>
        <v>780</v>
      </c>
      <c r="M327" s="29" t="n">
        <f aca="false">IF(L327="","",H327*L327)</f>
        <v>3120</v>
      </c>
      <c r="N327" s="29" t="n">
        <f aca="false">IF(M327="","",J327-M327)</f>
        <v>2680</v>
      </c>
      <c r="O327" s="30" t="n">
        <f aca="false">IFERROR(N327/J327,0)</f>
        <v>0.462068965517241</v>
      </c>
      <c r="P327" s="27"/>
      <c r="Q327" s="27" t="s">
        <v>151</v>
      </c>
      <c r="R327" s="27" t="s">
        <v>152</v>
      </c>
      <c r="S327" s="27" t="n">
        <v>134</v>
      </c>
      <c r="T327" s="27"/>
    </row>
    <row r="328" customFormat="false" ht="15" hidden="false" customHeight="false" outlineLevel="0" collapsed="false">
      <c r="A328" s="26" t="n">
        <v>46077</v>
      </c>
      <c r="B328" s="27" t="n">
        <v>2026</v>
      </c>
      <c r="C328" s="27" t="n">
        <v>2</v>
      </c>
      <c r="D328" s="27" t="s">
        <v>81</v>
      </c>
      <c r="E328" s="27" t="s">
        <v>92</v>
      </c>
      <c r="F328" s="27" t="s">
        <v>105</v>
      </c>
      <c r="G328" s="27" t="s">
        <v>118</v>
      </c>
      <c r="H328" s="28" t="n">
        <v>1</v>
      </c>
      <c r="I328" s="29" t="n">
        <v>1180</v>
      </c>
      <c r="J328" s="29" t="n">
        <v>1180</v>
      </c>
      <c r="K328" s="29" t="n">
        <f aca="false">H328*I328</f>
        <v>1180</v>
      </c>
      <c r="L328" s="29" t="n">
        <f aca="false">IFERROR(INDEX(Cat_Productos!$B$2:$B$6,MATCH(G328,Cat_Productos!$A$2:$A$6,0)),"")</f>
        <v>590</v>
      </c>
      <c r="M328" s="29" t="n">
        <f aca="false">IF(L328="","",H328*L328)</f>
        <v>590</v>
      </c>
      <c r="N328" s="29" t="n">
        <f aca="false">IF(M328="","",J328-M328)</f>
        <v>590</v>
      </c>
      <c r="O328" s="30" t="n">
        <f aca="false">IFERROR(N328/J328,0)</f>
        <v>0.5</v>
      </c>
      <c r="P328" s="27"/>
      <c r="Q328" s="27" t="s">
        <v>151</v>
      </c>
      <c r="R328" s="27" t="s">
        <v>152</v>
      </c>
      <c r="S328" s="27" t="n">
        <v>21</v>
      </c>
      <c r="T328" s="27"/>
    </row>
    <row r="329" customFormat="false" ht="15" hidden="false" customHeight="false" outlineLevel="0" collapsed="false">
      <c r="A329" s="26" t="n">
        <v>46078</v>
      </c>
      <c r="B329" s="27" t="n">
        <v>2026</v>
      </c>
      <c r="C329" s="27" t="n">
        <v>2</v>
      </c>
      <c r="D329" s="27" t="s">
        <v>81</v>
      </c>
      <c r="E329" s="27" t="s">
        <v>91</v>
      </c>
      <c r="F329" s="27" t="s">
        <v>103</v>
      </c>
      <c r="G329" s="27" t="s">
        <v>116</v>
      </c>
      <c r="H329" s="28" t="n">
        <v>4</v>
      </c>
      <c r="I329" s="29" t="n">
        <v>620</v>
      </c>
      <c r="J329" s="29" t="n">
        <v>2480</v>
      </c>
      <c r="K329" s="29" t="n">
        <f aca="false">H329*I329</f>
        <v>2480</v>
      </c>
      <c r="L329" s="29" t="n">
        <f aca="false">IFERROR(INDEX(Cat_Productos!$B$2:$B$6,MATCH(G329,Cat_Productos!$A$2:$A$6,0)),"")</f>
        <v>290</v>
      </c>
      <c r="M329" s="29" t="n">
        <f aca="false">IF(L329="","",H329*L329)</f>
        <v>1160</v>
      </c>
      <c r="N329" s="29" t="n">
        <f aca="false">IF(M329="","",J329-M329)</f>
        <v>1320</v>
      </c>
      <c r="O329" s="30" t="n">
        <f aca="false">IFERROR(N329/J329,0)</f>
        <v>0.532258064516129</v>
      </c>
      <c r="P329" s="27"/>
      <c r="Q329" s="27" t="s">
        <v>151</v>
      </c>
      <c r="R329" s="27" t="s">
        <v>152</v>
      </c>
      <c r="S329" s="27" t="n">
        <v>149</v>
      </c>
      <c r="T329" s="27"/>
    </row>
    <row r="330" customFormat="false" ht="15" hidden="false" customHeight="false" outlineLevel="0" collapsed="false">
      <c r="A330" s="26" t="n">
        <v>46078</v>
      </c>
      <c r="B330" s="27" t="n">
        <v>2026</v>
      </c>
      <c r="C330" s="27" t="n">
        <v>2</v>
      </c>
      <c r="D330" s="27" t="s">
        <v>81</v>
      </c>
      <c r="E330" s="27" t="s">
        <v>93</v>
      </c>
      <c r="F330" s="27" t="s">
        <v>108</v>
      </c>
      <c r="G330" s="27" t="s">
        <v>117</v>
      </c>
      <c r="H330" s="28" t="n">
        <v>6</v>
      </c>
      <c r="I330" s="29" t="n">
        <v>1450</v>
      </c>
      <c r="J330" s="29" t="n">
        <v>8700</v>
      </c>
      <c r="K330" s="29" t="n">
        <f aca="false">H330*I330</f>
        <v>8700</v>
      </c>
      <c r="L330" s="29" t="n">
        <f aca="false">IFERROR(INDEX(Cat_Productos!$B$2:$B$6,MATCH(G330,Cat_Productos!$A$2:$A$6,0)),"")</f>
        <v>780</v>
      </c>
      <c r="M330" s="29" t="n">
        <f aca="false">IF(L330="","",H330*L330)</f>
        <v>4680</v>
      </c>
      <c r="N330" s="29" t="n">
        <f aca="false">IF(M330="","",J330-M330)</f>
        <v>4020</v>
      </c>
      <c r="O330" s="30" t="n">
        <f aca="false">IFERROR(N330/J330,0)</f>
        <v>0.462068965517241</v>
      </c>
      <c r="P330" s="27"/>
      <c r="Q330" s="27" t="s">
        <v>151</v>
      </c>
      <c r="R330" s="27" t="s">
        <v>152</v>
      </c>
      <c r="S330" s="27" t="n">
        <v>50</v>
      </c>
      <c r="T330" s="27"/>
    </row>
    <row r="331" customFormat="false" ht="15" hidden="false" customHeight="false" outlineLevel="0" collapsed="false">
      <c r="A331" s="26" t="n">
        <v>46078</v>
      </c>
      <c r="B331" s="27" t="n">
        <v>2026</v>
      </c>
      <c r="C331" s="27" t="n">
        <v>2</v>
      </c>
      <c r="D331" s="27" t="s">
        <v>81</v>
      </c>
      <c r="E331" s="27" t="s">
        <v>93</v>
      </c>
      <c r="F331" s="27" t="s">
        <v>108</v>
      </c>
      <c r="G331" s="27" t="s">
        <v>116</v>
      </c>
      <c r="H331" s="28" t="n">
        <v>2</v>
      </c>
      <c r="I331" s="29" t="n">
        <v>620</v>
      </c>
      <c r="J331" s="29" t="n">
        <v>1240</v>
      </c>
      <c r="K331" s="29" t="n">
        <f aca="false">H331*I331</f>
        <v>1240</v>
      </c>
      <c r="L331" s="29" t="n">
        <f aca="false">IFERROR(INDEX(Cat_Productos!$B$2:$B$6,MATCH(G331,Cat_Productos!$A$2:$A$6,0)),"")</f>
        <v>290</v>
      </c>
      <c r="M331" s="29" t="n">
        <f aca="false">IF(L331="","",H331*L331)</f>
        <v>580</v>
      </c>
      <c r="N331" s="29" t="n">
        <f aca="false">IF(M331="","",J331-M331)</f>
        <v>660</v>
      </c>
      <c r="O331" s="30" t="n">
        <f aca="false">IFERROR(N331/J331,0)</f>
        <v>0.532258064516129</v>
      </c>
      <c r="P331" s="27"/>
      <c r="Q331" s="27" t="s">
        <v>151</v>
      </c>
      <c r="R331" s="27" t="s">
        <v>152</v>
      </c>
      <c r="S331" s="27" t="n">
        <v>60</v>
      </c>
      <c r="T331" s="27"/>
    </row>
    <row r="332" customFormat="false" ht="15" hidden="false" customHeight="false" outlineLevel="0" collapsed="false">
      <c r="A332" s="26" t="n">
        <v>46078</v>
      </c>
      <c r="B332" s="27" t="n">
        <v>2026</v>
      </c>
      <c r="C332" s="27" t="n">
        <v>2</v>
      </c>
      <c r="D332" s="27" t="s">
        <v>81</v>
      </c>
      <c r="E332" s="27" t="s">
        <v>91</v>
      </c>
      <c r="F332" s="27" t="s">
        <v>103</v>
      </c>
      <c r="G332" s="27" t="s">
        <v>117</v>
      </c>
      <c r="H332" s="28" t="n">
        <v>6</v>
      </c>
      <c r="I332" s="29" t="n">
        <v>1450</v>
      </c>
      <c r="J332" s="29" t="n">
        <v>8700</v>
      </c>
      <c r="K332" s="29" t="n">
        <f aca="false">H332*I332</f>
        <v>8700</v>
      </c>
      <c r="L332" s="29" t="n">
        <f aca="false">IFERROR(INDEX(Cat_Productos!$B$2:$B$6,MATCH(G332,Cat_Productos!$A$2:$A$6,0)),"")</f>
        <v>780</v>
      </c>
      <c r="M332" s="29" t="n">
        <f aca="false">IF(L332="","",H332*L332)</f>
        <v>4680</v>
      </c>
      <c r="N332" s="29" t="n">
        <f aca="false">IF(M332="","",J332-M332)</f>
        <v>4020</v>
      </c>
      <c r="O332" s="30" t="n">
        <f aca="false">IFERROR(N332/J332,0)</f>
        <v>0.462068965517241</v>
      </c>
      <c r="P332" s="27"/>
      <c r="Q332" s="27" t="s">
        <v>151</v>
      </c>
      <c r="R332" s="27" t="s">
        <v>152</v>
      </c>
      <c r="S332" s="27" t="n">
        <v>115</v>
      </c>
      <c r="T332" s="27"/>
    </row>
    <row r="333" customFormat="false" ht="15" hidden="false" customHeight="false" outlineLevel="0" collapsed="false">
      <c r="A333" s="26" t="n">
        <v>46078</v>
      </c>
      <c r="B333" s="27" t="n">
        <v>2026</v>
      </c>
      <c r="C333" s="27" t="n">
        <v>2</v>
      </c>
      <c r="D333" s="27" t="s">
        <v>81</v>
      </c>
      <c r="E333" s="27" t="s">
        <v>93</v>
      </c>
      <c r="F333" s="27" t="s">
        <v>108</v>
      </c>
      <c r="G333" s="27" t="s">
        <v>117</v>
      </c>
      <c r="H333" s="28" t="n">
        <v>2</v>
      </c>
      <c r="I333" s="29" t="n">
        <v>1450</v>
      </c>
      <c r="J333" s="29" t="n">
        <v>2900</v>
      </c>
      <c r="K333" s="29" t="n">
        <f aca="false">H333*I333</f>
        <v>2900</v>
      </c>
      <c r="L333" s="29" t="n">
        <f aca="false">IFERROR(INDEX(Cat_Productos!$B$2:$B$6,MATCH(G333,Cat_Productos!$A$2:$A$6,0)),"")</f>
        <v>780</v>
      </c>
      <c r="M333" s="29" t="n">
        <f aca="false">IF(L333="","",H333*L333)</f>
        <v>1560</v>
      </c>
      <c r="N333" s="29" t="n">
        <f aca="false">IF(M333="","",J333-M333)</f>
        <v>1340</v>
      </c>
      <c r="O333" s="30" t="n">
        <f aca="false">IFERROR(N333/J333,0)</f>
        <v>0.462068965517241</v>
      </c>
      <c r="P333" s="27"/>
      <c r="Q333" s="27" t="s">
        <v>151</v>
      </c>
      <c r="R333" s="27" t="s">
        <v>152</v>
      </c>
      <c r="S333" s="27" t="n">
        <v>46</v>
      </c>
      <c r="T333" s="27"/>
    </row>
    <row r="334" customFormat="false" ht="15" hidden="false" customHeight="false" outlineLevel="0" collapsed="false">
      <c r="A334" s="26" t="n">
        <v>46078</v>
      </c>
      <c r="B334" s="27" t="n">
        <v>2026</v>
      </c>
      <c r="C334" s="27" t="n">
        <v>2</v>
      </c>
      <c r="D334" s="27" t="s">
        <v>81</v>
      </c>
      <c r="E334" s="27" t="s">
        <v>93</v>
      </c>
      <c r="F334" s="27" t="s">
        <v>108</v>
      </c>
      <c r="G334" s="27" t="s">
        <v>117</v>
      </c>
      <c r="H334" s="28" t="n">
        <v>2</v>
      </c>
      <c r="I334" s="29" t="n">
        <v>1450</v>
      </c>
      <c r="J334" s="29" t="n">
        <v>2900</v>
      </c>
      <c r="K334" s="29" t="n">
        <f aca="false">H334*I334</f>
        <v>2900</v>
      </c>
      <c r="L334" s="29" t="n">
        <f aca="false">IFERROR(INDEX(Cat_Productos!$B$2:$B$6,MATCH(G334,Cat_Productos!$A$2:$A$6,0)),"")</f>
        <v>780</v>
      </c>
      <c r="M334" s="29" t="n">
        <f aca="false">IF(L334="","",H334*L334)</f>
        <v>1560</v>
      </c>
      <c r="N334" s="29" t="n">
        <f aca="false">IF(M334="","",J334-M334)</f>
        <v>1340</v>
      </c>
      <c r="O334" s="30" t="n">
        <f aca="false">IFERROR(N334/J334,0)</f>
        <v>0.462068965517241</v>
      </c>
      <c r="P334" s="27"/>
      <c r="Q334" s="27" t="s">
        <v>151</v>
      </c>
      <c r="R334" s="27" t="s">
        <v>152</v>
      </c>
      <c r="S334" s="27" t="n">
        <v>42</v>
      </c>
      <c r="T334" s="27"/>
    </row>
    <row r="335" customFormat="false" ht="15" hidden="false" customHeight="false" outlineLevel="0" collapsed="false">
      <c r="A335" s="26" t="n">
        <v>46078</v>
      </c>
      <c r="B335" s="27" t="n">
        <v>2026</v>
      </c>
      <c r="C335" s="27" t="n">
        <v>2</v>
      </c>
      <c r="D335" s="27" t="s">
        <v>81</v>
      </c>
      <c r="E335" s="27" t="s">
        <v>91</v>
      </c>
      <c r="F335" s="27" t="s">
        <v>103</v>
      </c>
      <c r="G335" s="27" t="s">
        <v>116</v>
      </c>
      <c r="H335" s="28" t="n">
        <v>4</v>
      </c>
      <c r="I335" s="29" t="n">
        <v>620</v>
      </c>
      <c r="J335" s="29" t="n">
        <v>2480</v>
      </c>
      <c r="K335" s="29" t="n">
        <f aca="false">H335*I335</f>
        <v>2480</v>
      </c>
      <c r="L335" s="29" t="n">
        <f aca="false">IFERROR(INDEX(Cat_Productos!$B$2:$B$6,MATCH(G335,Cat_Productos!$A$2:$A$6,0)),"")</f>
        <v>290</v>
      </c>
      <c r="M335" s="29" t="n">
        <f aca="false">IF(L335="","",H335*L335)</f>
        <v>1160</v>
      </c>
      <c r="N335" s="29" t="n">
        <f aca="false">IF(M335="","",J335-M335)</f>
        <v>1320</v>
      </c>
      <c r="O335" s="30" t="n">
        <f aca="false">IFERROR(N335/J335,0)</f>
        <v>0.532258064516129</v>
      </c>
      <c r="P335" s="27"/>
      <c r="Q335" s="27" t="s">
        <v>151</v>
      </c>
      <c r="R335" s="27" t="s">
        <v>152</v>
      </c>
      <c r="S335" s="27" t="n">
        <v>145</v>
      </c>
      <c r="T335" s="27"/>
    </row>
    <row r="336" customFormat="false" ht="15" hidden="false" customHeight="false" outlineLevel="0" collapsed="false">
      <c r="A336" s="26" t="n">
        <v>46078</v>
      </c>
      <c r="B336" s="27" t="n">
        <v>2026</v>
      </c>
      <c r="C336" s="27" t="n">
        <v>2</v>
      </c>
      <c r="D336" s="27" t="s">
        <v>81</v>
      </c>
      <c r="E336" s="27" t="s">
        <v>91</v>
      </c>
      <c r="F336" s="27" t="s">
        <v>103</v>
      </c>
      <c r="G336" s="27" t="s">
        <v>116</v>
      </c>
      <c r="H336" s="28" t="n">
        <v>4</v>
      </c>
      <c r="I336" s="29" t="n">
        <v>620</v>
      </c>
      <c r="J336" s="29" t="n">
        <v>2480</v>
      </c>
      <c r="K336" s="29" t="n">
        <f aca="false">H336*I336</f>
        <v>2480</v>
      </c>
      <c r="L336" s="29" t="n">
        <f aca="false">IFERROR(INDEX(Cat_Productos!$B$2:$B$6,MATCH(G336,Cat_Productos!$A$2:$A$6,0)),"")</f>
        <v>290</v>
      </c>
      <c r="M336" s="29" t="n">
        <f aca="false">IF(L336="","",H336*L336)</f>
        <v>1160</v>
      </c>
      <c r="N336" s="29" t="n">
        <f aca="false">IF(M336="","",J336-M336)</f>
        <v>1320</v>
      </c>
      <c r="O336" s="30" t="n">
        <f aca="false">IFERROR(N336/J336,0)</f>
        <v>0.532258064516129</v>
      </c>
      <c r="P336" s="27"/>
      <c r="Q336" s="27" t="s">
        <v>151</v>
      </c>
      <c r="R336" s="27" t="s">
        <v>152</v>
      </c>
      <c r="S336" s="27" t="n">
        <v>157</v>
      </c>
      <c r="T336" s="27"/>
    </row>
    <row r="337" customFormat="false" ht="15" hidden="false" customHeight="false" outlineLevel="0" collapsed="false">
      <c r="A337" s="26" t="n">
        <v>46078</v>
      </c>
      <c r="B337" s="27" t="n">
        <v>2026</v>
      </c>
      <c r="C337" s="27" t="n">
        <v>2</v>
      </c>
      <c r="D337" s="27" t="s">
        <v>81</v>
      </c>
      <c r="E337" s="27" t="s">
        <v>91</v>
      </c>
      <c r="F337" s="27" t="s">
        <v>103</v>
      </c>
      <c r="G337" s="27" t="s">
        <v>117</v>
      </c>
      <c r="H337" s="28" t="n">
        <v>1</v>
      </c>
      <c r="I337" s="29" t="n">
        <v>1450</v>
      </c>
      <c r="J337" s="29" t="n">
        <v>1450</v>
      </c>
      <c r="K337" s="29" t="n">
        <f aca="false">H337*I337</f>
        <v>1450</v>
      </c>
      <c r="L337" s="29" t="n">
        <f aca="false">IFERROR(INDEX(Cat_Productos!$B$2:$B$6,MATCH(G337,Cat_Productos!$A$2:$A$6,0)),"")</f>
        <v>780</v>
      </c>
      <c r="M337" s="29" t="n">
        <f aca="false">IF(L337="","",H337*L337)</f>
        <v>780</v>
      </c>
      <c r="N337" s="29" t="n">
        <f aca="false">IF(M337="","",J337-M337)</f>
        <v>670</v>
      </c>
      <c r="O337" s="30" t="n">
        <f aca="false">IFERROR(N337/J337,0)</f>
        <v>0.462068965517241</v>
      </c>
      <c r="P337" s="27"/>
      <c r="Q337" s="27" t="s">
        <v>151</v>
      </c>
      <c r="R337" s="27" t="s">
        <v>152</v>
      </c>
      <c r="S337" s="27" t="n">
        <v>137</v>
      </c>
      <c r="T337" s="27"/>
    </row>
    <row r="338" customFormat="false" ht="15" hidden="false" customHeight="false" outlineLevel="0" collapsed="false">
      <c r="A338" s="26" t="n">
        <v>46078</v>
      </c>
      <c r="B338" s="27" t="n">
        <v>2026</v>
      </c>
      <c r="C338" s="27" t="n">
        <v>2</v>
      </c>
      <c r="D338" s="27" t="s">
        <v>81</v>
      </c>
      <c r="E338" s="27" t="s">
        <v>91</v>
      </c>
      <c r="F338" s="27" t="s">
        <v>107</v>
      </c>
      <c r="G338" s="27" t="s">
        <v>117</v>
      </c>
      <c r="H338" s="28" t="n">
        <v>4</v>
      </c>
      <c r="I338" s="29" t="n">
        <v>1450</v>
      </c>
      <c r="J338" s="29" t="n">
        <v>5800</v>
      </c>
      <c r="K338" s="29" t="n">
        <f aca="false">H338*I338</f>
        <v>5800</v>
      </c>
      <c r="L338" s="29" t="n">
        <f aca="false">IFERROR(INDEX(Cat_Productos!$B$2:$B$6,MATCH(G338,Cat_Productos!$A$2:$A$6,0)),"")</f>
        <v>780</v>
      </c>
      <c r="M338" s="29" t="n">
        <f aca="false">IF(L338="","",H338*L338)</f>
        <v>3120</v>
      </c>
      <c r="N338" s="29" t="n">
        <f aca="false">IF(M338="","",J338-M338)</f>
        <v>2680</v>
      </c>
      <c r="O338" s="30" t="n">
        <f aca="false">IFERROR(N338/J338,0)</f>
        <v>0.462068965517241</v>
      </c>
      <c r="P338" s="27"/>
      <c r="Q338" s="27" t="s">
        <v>151</v>
      </c>
      <c r="R338" s="27" t="s">
        <v>152</v>
      </c>
      <c r="S338" s="27" t="n">
        <v>78</v>
      </c>
      <c r="T338" s="27"/>
    </row>
    <row r="339" customFormat="false" ht="15" hidden="false" customHeight="false" outlineLevel="0" collapsed="false">
      <c r="A339" s="26" t="n">
        <v>46079</v>
      </c>
      <c r="B339" s="27" t="n">
        <v>2026</v>
      </c>
      <c r="C339" s="27" t="n">
        <v>2</v>
      </c>
      <c r="D339" s="27" t="s">
        <v>81</v>
      </c>
      <c r="E339" s="27" t="s">
        <v>92</v>
      </c>
      <c r="F339" s="27" t="s">
        <v>105</v>
      </c>
      <c r="G339" s="27" t="s">
        <v>118</v>
      </c>
      <c r="H339" s="28" t="n">
        <v>5</v>
      </c>
      <c r="I339" s="29" t="n">
        <v>1180</v>
      </c>
      <c r="J339" s="29" t="n">
        <v>5900</v>
      </c>
      <c r="K339" s="29" t="n">
        <f aca="false">H339*I339</f>
        <v>5900</v>
      </c>
      <c r="L339" s="29" t="n">
        <f aca="false">IFERROR(INDEX(Cat_Productos!$B$2:$B$6,MATCH(G339,Cat_Productos!$A$2:$A$6,0)),"")</f>
        <v>590</v>
      </c>
      <c r="M339" s="29" t="n">
        <f aca="false">IF(L339="","",H339*L339)</f>
        <v>2950</v>
      </c>
      <c r="N339" s="29" t="n">
        <f aca="false">IF(M339="","",J339-M339)</f>
        <v>2950</v>
      </c>
      <c r="O339" s="30" t="n">
        <f aca="false">IFERROR(N339/J339,0)</f>
        <v>0.5</v>
      </c>
      <c r="P339" s="27"/>
      <c r="Q339" s="27" t="s">
        <v>151</v>
      </c>
      <c r="R339" s="27" t="s">
        <v>152</v>
      </c>
      <c r="S339" s="27" t="n">
        <v>20</v>
      </c>
      <c r="T339" s="27"/>
    </row>
    <row r="340" customFormat="false" ht="15" hidden="false" customHeight="false" outlineLevel="0" collapsed="false">
      <c r="A340" s="26" t="n">
        <v>46079</v>
      </c>
      <c r="B340" s="27" t="n">
        <v>2026</v>
      </c>
      <c r="C340" s="27" t="n">
        <v>2</v>
      </c>
      <c r="D340" s="27" t="s">
        <v>81</v>
      </c>
      <c r="E340" s="27" t="s">
        <v>92</v>
      </c>
      <c r="F340" s="27" t="s">
        <v>105</v>
      </c>
      <c r="G340" s="27" t="s">
        <v>115</v>
      </c>
      <c r="H340" s="28" t="n">
        <v>1</v>
      </c>
      <c r="I340" s="29" t="n">
        <v>5900</v>
      </c>
      <c r="J340" s="29" t="n">
        <v>5900</v>
      </c>
      <c r="K340" s="29" t="n">
        <f aca="false">H340*I340</f>
        <v>5900</v>
      </c>
      <c r="L340" s="29" t="n">
        <f aca="false">IFERROR(INDEX(Cat_Productos!$B$2:$B$6,MATCH(G340,Cat_Productos!$A$2:$A$6,0)),"")</f>
        <v>4100</v>
      </c>
      <c r="M340" s="29" t="n">
        <f aca="false">IF(L340="","",H340*L340)</f>
        <v>4100</v>
      </c>
      <c r="N340" s="29" t="n">
        <f aca="false">IF(M340="","",J340-M340)</f>
        <v>1800</v>
      </c>
      <c r="O340" s="30" t="n">
        <f aca="false">IFERROR(N340/J340,0)</f>
        <v>0.305084745762712</v>
      </c>
      <c r="P340" s="27"/>
      <c r="Q340" s="27" t="s">
        <v>151</v>
      </c>
      <c r="R340" s="27" t="s">
        <v>152</v>
      </c>
      <c r="S340" s="27" t="n">
        <v>14</v>
      </c>
      <c r="T340" s="27"/>
    </row>
    <row r="341" customFormat="false" ht="15" hidden="false" customHeight="false" outlineLevel="0" collapsed="false">
      <c r="A341" s="26" t="n">
        <v>46079</v>
      </c>
      <c r="B341" s="27" t="n">
        <v>2026</v>
      </c>
      <c r="C341" s="27" t="n">
        <v>2</v>
      </c>
      <c r="D341" s="27" t="s">
        <v>81</v>
      </c>
      <c r="E341" s="27" t="s">
        <v>92</v>
      </c>
      <c r="F341" s="27" t="s">
        <v>105</v>
      </c>
      <c r="G341" s="27" t="s">
        <v>114</v>
      </c>
      <c r="H341" s="28" t="n">
        <v>3</v>
      </c>
      <c r="I341" s="29" t="n">
        <v>23900</v>
      </c>
      <c r="J341" s="29" t="n">
        <v>71700</v>
      </c>
      <c r="K341" s="29" t="n">
        <f aca="false">H341*I341</f>
        <v>71700</v>
      </c>
      <c r="L341" s="29" t="n">
        <f aca="false">IFERROR(INDEX(Cat_Productos!$B$2:$B$6,MATCH(G341,Cat_Productos!$A$2:$A$6,0)),"")</f>
        <v>19200</v>
      </c>
      <c r="M341" s="29" t="n">
        <f aca="false">IF(L341="","",H341*L341)</f>
        <v>57600</v>
      </c>
      <c r="N341" s="29" t="n">
        <f aca="false">IF(M341="","",J341-M341)</f>
        <v>14100</v>
      </c>
      <c r="O341" s="30" t="n">
        <f aca="false">IFERROR(N341/J341,0)</f>
        <v>0.196652719665272</v>
      </c>
      <c r="P341" s="27"/>
      <c r="Q341" s="27" t="s">
        <v>151</v>
      </c>
      <c r="R341" s="27" t="s">
        <v>152</v>
      </c>
      <c r="S341" s="27" t="n">
        <v>10</v>
      </c>
      <c r="T341" s="27"/>
    </row>
    <row r="342" customFormat="false" ht="15" hidden="false" customHeight="false" outlineLevel="0" collapsed="false">
      <c r="A342" s="26" t="n">
        <v>46079</v>
      </c>
      <c r="B342" s="27" t="n">
        <v>2026</v>
      </c>
      <c r="C342" s="27" t="n">
        <v>2</v>
      </c>
      <c r="D342" s="27" t="s">
        <v>81</v>
      </c>
      <c r="E342" s="27" t="s">
        <v>92</v>
      </c>
      <c r="F342" s="27" t="s">
        <v>105</v>
      </c>
      <c r="G342" s="27" t="s">
        <v>115</v>
      </c>
      <c r="H342" s="28" t="n">
        <v>2</v>
      </c>
      <c r="I342" s="29" t="n">
        <v>5900</v>
      </c>
      <c r="J342" s="29" t="n">
        <v>11800</v>
      </c>
      <c r="K342" s="29" t="n">
        <f aca="false">H342*I342</f>
        <v>11800</v>
      </c>
      <c r="L342" s="29" t="n">
        <f aca="false">IFERROR(INDEX(Cat_Productos!$B$2:$B$6,MATCH(G342,Cat_Productos!$A$2:$A$6,0)),"")</f>
        <v>4100</v>
      </c>
      <c r="M342" s="29" t="n">
        <f aca="false">IF(L342="","",H342*L342)</f>
        <v>8200</v>
      </c>
      <c r="N342" s="29" t="n">
        <f aca="false">IF(M342="","",J342-M342)</f>
        <v>3600</v>
      </c>
      <c r="O342" s="30" t="n">
        <f aca="false">IFERROR(N342/J342,0)</f>
        <v>0.305084745762712</v>
      </c>
      <c r="P342" s="27"/>
      <c r="Q342" s="27" t="s">
        <v>151</v>
      </c>
      <c r="R342" s="27" t="s">
        <v>152</v>
      </c>
      <c r="S342" s="27" t="n">
        <v>18</v>
      </c>
      <c r="T342" s="27"/>
    </row>
    <row r="343" customFormat="false" ht="15" hidden="false" customHeight="false" outlineLevel="0" collapsed="false">
      <c r="A343" s="26" t="n">
        <v>46079</v>
      </c>
      <c r="B343" s="27" t="n">
        <v>2026</v>
      </c>
      <c r="C343" s="27" t="n">
        <v>2</v>
      </c>
      <c r="D343" s="27" t="s">
        <v>81</v>
      </c>
      <c r="E343" s="27" t="s">
        <v>92</v>
      </c>
      <c r="F343" s="27" t="s">
        <v>105</v>
      </c>
      <c r="G343" s="27" t="s">
        <v>115</v>
      </c>
      <c r="H343" s="28" t="n">
        <v>5</v>
      </c>
      <c r="I343" s="29" t="n">
        <v>5900</v>
      </c>
      <c r="J343" s="29" t="n">
        <v>29500</v>
      </c>
      <c r="K343" s="29" t="n">
        <f aca="false">H343*I343</f>
        <v>29500</v>
      </c>
      <c r="L343" s="29" t="n">
        <f aca="false">IFERROR(INDEX(Cat_Productos!$B$2:$B$6,MATCH(G343,Cat_Productos!$A$2:$A$6,0)),"")</f>
        <v>4100</v>
      </c>
      <c r="M343" s="29" t="n">
        <f aca="false">IF(L343="","",H343*L343)</f>
        <v>20500</v>
      </c>
      <c r="N343" s="29" t="n">
        <f aca="false">IF(M343="","",J343-M343)</f>
        <v>9000</v>
      </c>
      <c r="O343" s="30" t="n">
        <f aca="false">IFERROR(N343/J343,0)</f>
        <v>0.305084745762712</v>
      </c>
      <c r="P343" s="27"/>
      <c r="Q343" s="27" t="s">
        <v>151</v>
      </c>
      <c r="R343" s="27" t="s">
        <v>152</v>
      </c>
      <c r="S343" s="27" t="n">
        <v>12</v>
      </c>
      <c r="T343" s="27"/>
    </row>
    <row r="344" customFormat="false" ht="15" hidden="false" customHeight="false" outlineLevel="0" collapsed="false">
      <c r="A344" s="26" t="n">
        <v>46080</v>
      </c>
      <c r="B344" s="27" t="n">
        <v>2026</v>
      </c>
      <c r="C344" s="27" t="n">
        <v>2</v>
      </c>
      <c r="D344" s="27" t="s">
        <v>81</v>
      </c>
      <c r="E344" s="27" t="s">
        <v>93</v>
      </c>
      <c r="F344" s="27" t="s">
        <v>108</v>
      </c>
      <c r="G344" s="27" t="s">
        <v>116</v>
      </c>
      <c r="H344" s="28" t="n">
        <v>6</v>
      </c>
      <c r="I344" s="29" t="n">
        <v>620</v>
      </c>
      <c r="J344" s="29" t="n">
        <v>3720</v>
      </c>
      <c r="K344" s="29" t="n">
        <f aca="false">H344*I344</f>
        <v>3720</v>
      </c>
      <c r="L344" s="29" t="n">
        <f aca="false">IFERROR(INDEX(Cat_Productos!$B$2:$B$6,MATCH(G344,Cat_Productos!$A$2:$A$6,0)),"")</f>
        <v>290</v>
      </c>
      <c r="M344" s="29" t="n">
        <f aca="false">IF(L344="","",H344*L344)</f>
        <v>1740</v>
      </c>
      <c r="N344" s="29" t="n">
        <f aca="false">IF(M344="","",J344-M344)</f>
        <v>1980</v>
      </c>
      <c r="O344" s="30" t="n">
        <f aca="false">IFERROR(N344/J344,0)</f>
        <v>0.532258064516129</v>
      </c>
      <c r="P344" s="27"/>
      <c r="Q344" s="27" t="s">
        <v>151</v>
      </c>
      <c r="R344" s="27" t="s">
        <v>152</v>
      </c>
      <c r="S344" s="27" t="n">
        <v>53</v>
      </c>
      <c r="T344" s="27"/>
    </row>
    <row r="345" customFormat="false" ht="15" hidden="false" customHeight="false" outlineLevel="0" collapsed="false">
      <c r="A345" s="26" t="n">
        <v>46080</v>
      </c>
      <c r="B345" s="27" t="n">
        <v>2026</v>
      </c>
      <c r="C345" s="27" t="n">
        <v>2</v>
      </c>
      <c r="D345" s="27" t="s">
        <v>81</v>
      </c>
      <c r="E345" s="27" t="s">
        <v>91</v>
      </c>
      <c r="F345" s="27" t="s">
        <v>107</v>
      </c>
      <c r="G345" s="27" t="s">
        <v>116</v>
      </c>
      <c r="H345" s="28" t="n">
        <v>4</v>
      </c>
      <c r="I345" s="29" t="n">
        <v>620</v>
      </c>
      <c r="J345" s="29" t="n">
        <v>2480</v>
      </c>
      <c r="K345" s="29" t="n">
        <f aca="false">H345*I345</f>
        <v>2480</v>
      </c>
      <c r="L345" s="29" t="n">
        <f aca="false">IFERROR(INDEX(Cat_Productos!$B$2:$B$6,MATCH(G345,Cat_Productos!$A$2:$A$6,0)),"")</f>
        <v>290</v>
      </c>
      <c r="M345" s="29" t="n">
        <f aca="false">IF(L345="","",H345*L345)</f>
        <v>1160</v>
      </c>
      <c r="N345" s="29" t="n">
        <f aca="false">IF(M345="","",J345-M345)</f>
        <v>1320</v>
      </c>
      <c r="O345" s="30" t="n">
        <f aca="false">IFERROR(N345/J345,0)</f>
        <v>0.532258064516129</v>
      </c>
      <c r="P345" s="27"/>
      <c r="Q345" s="27" t="s">
        <v>151</v>
      </c>
      <c r="R345" s="27" t="s">
        <v>152</v>
      </c>
      <c r="S345" s="27" t="n">
        <v>89</v>
      </c>
      <c r="T345" s="27"/>
    </row>
    <row r="346" customFormat="false" ht="15" hidden="false" customHeight="false" outlineLevel="0" collapsed="false">
      <c r="A346" s="26" t="n">
        <v>46080</v>
      </c>
      <c r="B346" s="27" t="n">
        <v>2026</v>
      </c>
      <c r="C346" s="27" t="n">
        <v>2</v>
      </c>
      <c r="D346" s="27" t="s">
        <v>81</v>
      </c>
      <c r="E346" s="27" t="s">
        <v>91</v>
      </c>
      <c r="F346" s="27" t="s">
        <v>103</v>
      </c>
      <c r="G346" s="27" t="s">
        <v>116</v>
      </c>
      <c r="H346" s="28" t="n">
        <v>6</v>
      </c>
      <c r="I346" s="29" t="n">
        <v>620</v>
      </c>
      <c r="J346" s="29" t="n">
        <v>3720</v>
      </c>
      <c r="K346" s="29" t="n">
        <f aca="false">H346*I346</f>
        <v>3720</v>
      </c>
      <c r="L346" s="29" t="n">
        <f aca="false">IFERROR(INDEX(Cat_Productos!$B$2:$B$6,MATCH(G346,Cat_Productos!$A$2:$A$6,0)),"")</f>
        <v>290</v>
      </c>
      <c r="M346" s="29" t="n">
        <f aca="false">IF(L346="","",H346*L346)</f>
        <v>1740</v>
      </c>
      <c r="N346" s="29" t="n">
        <f aca="false">IF(M346="","",J346-M346)</f>
        <v>1980</v>
      </c>
      <c r="O346" s="30" t="n">
        <f aca="false">IFERROR(N346/J346,0)</f>
        <v>0.532258064516129</v>
      </c>
      <c r="P346" s="27"/>
      <c r="Q346" s="27" t="s">
        <v>151</v>
      </c>
      <c r="R346" s="27" t="s">
        <v>152</v>
      </c>
      <c r="S346" s="27" t="n">
        <v>158</v>
      </c>
      <c r="T346" s="27"/>
    </row>
    <row r="347" customFormat="false" ht="15" hidden="false" customHeight="false" outlineLevel="0" collapsed="false">
      <c r="A347" s="26" t="n">
        <v>46080</v>
      </c>
      <c r="B347" s="27" t="n">
        <v>2026</v>
      </c>
      <c r="C347" s="27" t="n">
        <v>2</v>
      </c>
      <c r="D347" s="27" t="s">
        <v>81</v>
      </c>
      <c r="E347" s="27" t="s">
        <v>91</v>
      </c>
      <c r="F347" s="27" t="s">
        <v>103</v>
      </c>
      <c r="G347" s="27" t="s">
        <v>116</v>
      </c>
      <c r="H347" s="28" t="n">
        <v>6</v>
      </c>
      <c r="I347" s="29" t="n">
        <v>620</v>
      </c>
      <c r="J347" s="29" t="n">
        <v>3720</v>
      </c>
      <c r="K347" s="29" t="n">
        <f aca="false">H347*I347</f>
        <v>3720</v>
      </c>
      <c r="L347" s="29" t="n">
        <f aca="false">IFERROR(INDEX(Cat_Productos!$B$2:$B$6,MATCH(G347,Cat_Productos!$A$2:$A$6,0)),"")</f>
        <v>290</v>
      </c>
      <c r="M347" s="29" t="n">
        <f aca="false">IF(L347="","",H347*L347)</f>
        <v>1740</v>
      </c>
      <c r="N347" s="29" t="n">
        <f aca="false">IF(M347="","",J347-M347)</f>
        <v>1980</v>
      </c>
      <c r="O347" s="30" t="n">
        <f aca="false">IFERROR(N347/J347,0)</f>
        <v>0.532258064516129</v>
      </c>
      <c r="P347" s="27"/>
      <c r="Q347" s="27" t="s">
        <v>151</v>
      </c>
      <c r="R347" s="27" t="s">
        <v>152</v>
      </c>
      <c r="S347" s="27" t="n">
        <v>152</v>
      </c>
      <c r="T347" s="27"/>
    </row>
    <row r="348" customFormat="false" ht="15" hidden="false" customHeight="false" outlineLevel="0" collapsed="false">
      <c r="A348" s="26" t="n">
        <v>46080</v>
      </c>
      <c r="B348" s="27" t="n">
        <v>2026</v>
      </c>
      <c r="C348" s="27" t="n">
        <v>2</v>
      </c>
      <c r="D348" s="27" t="s">
        <v>81</v>
      </c>
      <c r="E348" s="27" t="s">
        <v>91</v>
      </c>
      <c r="F348" s="27" t="s">
        <v>107</v>
      </c>
      <c r="G348" s="27" t="s">
        <v>116</v>
      </c>
      <c r="H348" s="28" t="n">
        <v>2</v>
      </c>
      <c r="I348" s="29" t="n">
        <v>620</v>
      </c>
      <c r="J348" s="29" t="n">
        <v>1240</v>
      </c>
      <c r="K348" s="29" t="n">
        <f aca="false">H348*I348</f>
        <v>1240</v>
      </c>
      <c r="L348" s="29" t="n">
        <f aca="false">IFERROR(INDEX(Cat_Productos!$B$2:$B$6,MATCH(G348,Cat_Productos!$A$2:$A$6,0)),"")</f>
        <v>290</v>
      </c>
      <c r="M348" s="29" t="n">
        <f aca="false">IF(L348="","",H348*L348)</f>
        <v>580</v>
      </c>
      <c r="N348" s="29" t="n">
        <f aca="false">IF(M348="","",J348-M348)</f>
        <v>660</v>
      </c>
      <c r="O348" s="30" t="n">
        <f aca="false">IFERROR(N348/J348,0)</f>
        <v>0.532258064516129</v>
      </c>
      <c r="P348" s="27"/>
      <c r="Q348" s="27" t="s">
        <v>151</v>
      </c>
      <c r="R348" s="27" t="s">
        <v>152</v>
      </c>
      <c r="S348" s="27" t="n">
        <v>97</v>
      </c>
      <c r="T348" s="27"/>
    </row>
    <row r="349" customFormat="false" ht="15" hidden="false" customHeight="false" outlineLevel="0" collapsed="false">
      <c r="A349" s="26" t="n">
        <v>46080</v>
      </c>
      <c r="B349" s="27" t="n">
        <v>2026</v>
      </c>
      <c r="C349" s="27" t="n">
        <v>2</v>
      </c>
      <c r="D349" s="27" t="s">
        <v>81</v>
      </c>
      <c r="E349" s="27" t="s">
        <v>93</v>
      </c>
      <c r="F349" s="27" t="s">
        <v>108</v>
      </c>
      <c r="G349" s="27" t="s">
        <v>116</v>
      </c>
      <c r="H349" s="28" t="n">
        <v>4</v>
      </c>
      <c r="I349" s="29" t="n">
        <v>620</v>
      </c>
      <c r="J349" s="29" t="n">
        <v>2480</v>
      </c>
      <c r="K349" s="29" t="n">
        <f aca="false">H349*I349</f>
        <v>2480</v>
      </c>
      <c r="L349" s="29" t="n">
        <f aca="false">IFERROR(INDEX(Cat_Productos!$B$2:$B$6,MATCH(G349,Cat_Productos!$A$2:$A$6,0)),"")</f>
        <v>290</v>
      </c>
      <c r="M349" s="29" t="n">
        <f aca="false">IF(L349="","",H349*L349)</f>
        <v>1160</v>
      </c>
      <c r="N349" s="29" t="n">
        <f aca="false">IF(M349="","",J349-M349)</f>
        <v>1320</v>
      </c>
      <c r="O349" s="30" t="n">
        <f aca="false">IFERROR(N349/J349,0)</f>
        <v>0.532258064516129</v>
      </c>
      <c r="P349" s="27"/>
      <c r="Q349" s="27" t="s">
        <v>151</v>
      </c>
      <c r="R349" s="27" t="s">
        <v>152</v>
      </c>
      <c r="S349" s="27" t="n">
        <v>65</v>
      </c>
      <c r="T349" s="27"/>
    </row>
    <row r="350" customFormat="false" ht="15" hidden="false" customHeight="false" outlineLevel="0" collapsed="false">
      <c r="A350" s="26" t="n">
        <v>46080</v>
      </c>
      <c r="B350" s="27" t="n">
        <v>2026</v>
      </c>
      <c r="C350" s="27" t="n">
        <v>2</v>
      </c>
      <c r="D350" s="27" t="s">
        <v>81</v>
      </c>
      <c r="E350" s="27" t="s">
        <v>91</v>
      </c>
      <c r="F350" s="27" t="s">
        <v>107</v>
      </c>
      <c r="G350" s="27" t="s">
        <v>117</v>
      </c>
      <c r="H350" s="28" t="n">
        <v>6</v>
      </c>
      <c r="I350" s="29" t="n">
        <v>1450</v>
      </c>
      <c r="J350" s="29" t="n">
        <v>8700</v>
      </c>
      <c r="K350" s="29" t="n">
        <f aca="false">H350*I350</f>
        <v>8700</v>
      </c>
      <c r="L350" s="29" t="n">
        <f aca="false">IFERROR(INDEX(Cat_Productos!$B$2:$B$6,MATCH(G350,Cat_Productos!$A$2:$A$6,0)),"")</f>
        <v>780</v>
      </c>
      <c r="M350" s="29" t="n">
        <f aca="false">IF(L350="","",H350*L350)</f>
        <v>4680</v>
      </c>
      <c r="N350" s="29" t="n">
        <f aca="false">IF(M350="","",J350-M350)</f>
        <v>4020</v>
      </c>
      <c r="O350" s="30" t="n">
        <f aca="false">IFERROR(N350/J350,0)</f>
        <v>0.462068965517241</v>
      </c>
      <c r="P350" s="27"/>
      <c r="Q350" s="27" t="s">
        <v>151</v>
      </c>
      <c r="R350" s="27" t="s">
        <v>152</v>
      </c>
      <c r="S350" s="27" t="n">
        <v>73</v>
      </c>
      <c r="T350" s="27"/>
    </row>
    <row r="351" customFormat="false" ht="15" hidden="false" customHeight="false" outlineLevel="0" collapsed="false">
      <c r="A351" s="26" t="n">
        <v>46080</v>
      </c>
      <c r="B351" s="27" t="n">
        <v>2026</v>
      </c>
      <c r="C351" s="27" t="n">
        <v>2</v>
      </c>
      <c r="D351" s="27" t="s">
        <v>81</v>
      </c>
      <c r="E351" s="27" t="s">
        <v>91</v>
      </c>
      <c r="F351" s="27" t="s">
        <v>107</v>
      </c>
      <c r="G351" s="27" t="s">
        <v>116</v>
      </c>
      <c r="H351" s="28" t="n">
        <v>2</v>
      </c>
      <c r="I351" s="29" t="n">
        <v>620</v>
      </c>
      <c r="J351" s="29" t="n">
        <v>1240</v>
      </c>
      <c r="K351" s="29" t="n">
        <f aca="false">H351*I351</f>
        <v>1240</v>
      </c>
      <c r="L351" s="29" t="n">
        <f aca="false">IFERROR(INDEX(Cat_Productos!$B$2:$B$6,MATCH(G351,Cat_Productos!$A$2:$A$6,0)),"")</f>
        <v>290</v>
      </c>
      <c r="M351" s="29" t="n">
        <f aca="false">IF(L351="","",H351*L351)</f>
        <v>580</v>
      </c>
      <c r="N351" s="29" t="n">
        <f aca="false">IF(M351="","",J351-M351)</f>
        <v>660</v>
      </c>
      <c r="O351" s="30" t="n">
        <f aca="false">IFERROR(N351/J351,0)</f>
        <v>0.532258064516129</v>
      </c>
      <c r="P351" s="27"/>
      <c r="Q351" s="27" t="s">
        <v>151</v>
      </c>
      <c r="R351" s="27" t="s">
        <v>152</v>
      </c>
      <c r="S351" s="27" t="n">
        <v>95</v>
      </c>
      <c r="T351" s="27"/>
    </row>
    <row r="352" customFormat="false" ht="15" hidden="false" customHeight="false" outlineLevel="0" collapsed="false">
      <c r="A352" s="26" t="n">
        <v>46080</v>
      </c>
      <c r="B352" s="27" t="n">
        <v>2026</v>
      </c>
      <c r="C352" s="27" t="n">
        <v>2</v>
      </c>
      <c r="D352" s="27" t="s">
        <v>81</v>
      </c>
      <c r="E352" s="27" t="s">
        <v>91</v>
      </c>
      <c r="F352" s="27" t="s">
        <v>107</v>
      </c>
      <c r="G352" s="27" t="s">
        <v>117</v>
      </c>
      <c r="H352" s="28" t="n">
        <v>4</v>
      </c>
      <c r="I352" s="29" t="n">
        <v>1450</v>
      </c>
      <c r="J352" s="29" t="n">
        <v>5800</v>
      </c>
      <c r="K352" s="29" t="n">
        <f aca="false">H352*I352</f>
        <v>5800</v>
      </c>
      <c r="L352" s="29" t="n">
        <f aca="false">IFERROR(INDEX(Cat_Productos!$B$2:$B$6,MATCH(G352,Cat_Productos!$A$2:$A$6,0)),"")</f>
        <v>780</v>
      </c>
      <c r="M352" s="29" t="n">
        <f aca="false">IF(L352="","",H352*L352)</f>
        <v>3120</v>
      </c>
      <c r="N352" s="29" t="n">
        <f aca="false">IF(M352="","",J352-M352)</f>
        <v>2680</v>
      </c>
      <c r="O352" s="30" t="n">
        <f aca="false">IFERROR(N352/J352,0)</f>
        <v>0.462068965517241</v>
      </c>
      <c r="P352" s="27"/>
      <c r="Q352" s="27" t="s">
        <v>151</v>
      </c>
      <c r="R352" s="27" t="s">
        <v>152</v>
      </c>
      <c r="S352" s="27" t="n">
        <v>81</v>
      </c>
      <c r="T352" s="27"/>
    </row>
    <row r="353" customFormat="false" ht="15" hidden="false" customHeight="false" outlineLevel="0" collapsed="false">
      <c r="A353" s="26" t="n">
        <v>46080</v>
      </c>
      <c r="B353" s="27" t="n">
        <v>2026</v>
      </c>
      <c r="C353" s="27" t="n">
        <v>2</v>
      </c>
      <c r="D353" s="27" t="s">
        <v>81</v>
      </c>
      <c r="E353" s="27" t="s">
        <v>91</v>
      </c>
      <c r="F353" s="27" t="s">
        <v>103</v>
      </c>
      <c r="G353" s="27" t="s">
        <v>117</v>
      </c>
      <c r="H353" s="28" t="n">
        <v>2</v>
      </c>
      <c r="I353" s="29" t="n">
        <v>1450</v>
      </c>
      <c r="J353" s="29" t="n">
        <v>2900</v>
      </c>
      <c r="K353" s="29" t="n">
        <f aca="false">H353*I353</f>
        <v>2900</v>
      </c>
      <c r="L353" s="29" t="n">
        <f aca="false">IFERROR(INDEX(Cat_Productos!$B$2:$B$6,MATCH(G353,Cat_Productos!$A$2:$A$6,0)),"")</f>
        <v>780</v>
      </c>
      <c r="M353" s="29" t="n">
        <f aca="false">IF(L353="","",H353*L353)</f>
        <v>1560</v>
      </c>
      <c r="N353" s="29" t="n">
        <f aca="false">IF(M353="","",J353-M353)</f>
        <v>1340</v>
      </c>
      <c r="O353" s="30" t="n">
        <f aca="false">IFERROR(N353/J353,0)</f>
        <v>0.462068965517241</v>
      </c>
      <c r="P353" s="27"/>
      <c r="Q353" s="27" t="s">
        <v>151</v>
      </c>
      <c r="R353" s="27" t="s">
        <v>152</v>
      </c>
      <c r="S353" s="27" t="n">
        <v>118</v>
      </c>
      <c r="T353" s="27"/>
    </row>
    <row r="354" customFormat="false" ht="15" hidden="false" customHeight="false" outlineLevel="0" collapsed="false">
      <c r="A354" s="26" t="n">
        <v>46080</v>
      </c>
      <c r="B354" s="27" t="n">
        <v>2026</v>
      </c>
      <c r="C354" s="27" t="n">
        <v>2</v>
      </c>
      <c r="D354" s="27" t="s">
        <v>81</v>
      </c>
      <c r="E354" s="27" t="s">
        <v>91</v>
      </c>
      <c r="F354" s="27" t="s">
        <v>103</v>
      </c>
      <c r="G354" s="27" t="s">
        <v>117</v>
      </c>
      <c r="H354" s="28" t="n">
        <v>4</v>
      </c>
      <c r="I354" s="29" t="n">
        <v>1450</v>
      </c>
      <c r="J354" s="29" t="n">
        <v>5800</v>
      </c>
      <c r="K354" s="29" t="n">
        <f aca="false">H354*I354</f>
        <v>5800</v>
      </c>
      <c r="L354" s="29" t="n">
        <f aca="false">IFERROR(INDEX(Cat_Productos!$B$2:$B$6,MATCH(G354,Cat_Productos!$A$2:$A$6,0)),"")</f>
        <v>780</v>
      </c>
      <c r="M354" s="29" t="n">
        <f aca="false">IF(L354="","",H354*L354)</f>
        <v>3120</v>
      </c>
      <c r="N354" s="29" t="n">
        <f aca="false">IF(M354="","",J354-M354)</f>
        <v>2680</v>
      </c>
      <c r="O354" s="30" t="n">
        <f aca="false">IFERROR(N354/J354,0)</f>
        <v>0.462068965517241</v>
      </c>
      <c r="P354" s="27"/>
      <c r="Q354" s="27" t="s">
        <v>151</v>
      </c>
      <c r="R354" s="27" t="s">
        <v>152</v>
      </c>
      <c r="S354" s="27" t="n">
        <v>116</v>
      </c>
      <c r="T354" s="27"/>
    </row>
    <row r="355" customFormat="false" ht="15" hidden="false" customHeight="false" outlineLevel="0" collapsed="false">
      <c r="A355" s="26" t="n">
        <v>46081</v>
      </c>
      <c r="B355" s="27" t="n">
        <v>2026</v>
      </c>
      <c r="C355" s="27" t="n">
        <v>2</v>
      </c>
      <c r="D355" s="27" t="s">
        <v>81</v>
      </c>
      <c r="E355" s="27" t="s">
        <v>92</v>
      </c>
      <c r="F355" s="27" t="s">
        <v>105</v>
      </c>
      <c r="G355" s="27" t="s">
        <v>115</v>
      </c>
      <c r="H355" s="28" t="n">
        <v>1</v>
      </c>
      <c r="I355" s="29" t="n">
        <v>5900</v>
      </c>
      <c r="J355" s="29" t="n">
        <v>5900</v>
      </c>
      <c r="K355" s="29" t="n">
        <f aca="false">H355*I355</f>
        <v>5900</v>
      </c>
      <c r="L355" s="29" t="n">
        <f aca="false">IFERROR(INDEX(Cat_Productos!$B$2:$B$6,MATCH(G355,Cat_Productos!$A$2:$A$6,0)),"")</f>
        <v>4100</v>
      </c>
      <c r="M355" s="29" t="n">
        <f aca="false">IF(L355="","",H355*L355)</f>
        <v>4100</v>
      </c>
      <c r="N355" s="29" t="n">
        <f aca="false">IF(M355="","",J355-M355)</f>
        <v>1800</v>
      </c>
      <c r="O355" s="30" t="n">
        <f aca="false">IFERROR(N355/J355,0)</f>
        <v>0.305084745762712</v>
      </c>
      <c r="P355" s="27"/>
      <c r="Q355" s="27" t="s">
        <v>151</v>
      </c>
      <c r="R355" s="27" t="s">
        <v>152</v>
      </c>
      <c r="S355" s="27" t="n">
        <v>15</v>
      </c>
      <c r="T355" s="27"/>
    </row>
    <row r="356" customFormat="false" ht="15" hidden="false" customHeight="false" outlineLevel="0" collapsed="false">
      <c r="A356" s="26" t="n">
        <v>46081</v>
      </c>
      <c r="B356" s="27" t="n">
        <v>2026</v>
      </c>
      <c r="C356" s="27" t="n">
        <v>2</v>
      </c>
      <c r="D356" s="27" t="s">
        <v>81</v>
      </c>
      <c r="E356" s="27" t="s">
        <v>92</v>
      </c>
      <c r="F356" s="27" t="s">
        <v>105</v>
      </c>
      <c r="G356" s="27" t="s">
        <v>115</v>
      </c>
      <c r="H356" s="28" t="n">
        <v>1</v>
      </c>
      <c r="I356" s="29" t="n">
        <v>5900</v>
      </c>
      <c r="J356" s="29" t="n">
        <v>5900</v>
      </c>
      <c r="K356" s="29" t="n">
        <f aca="false">H356*I356</f>
        <v>5900</v>
      </c>
      <c r="L356" s="29" t="n">
        <f aca="false">IFERROR(INDEX(Cat_Productos!$B$2:$B$6,MATCH(G356,Cat_Productos!$A$2:$A$6,0)),"")</f>
        <v>4100</v>
      </c>
      <c r="M356" s="29" t="n">
        <f aca="false">IF(L356="","",H356*L356)</f>
        <v>4100</v>
      </c>
      <c r="N356" s="29" t="n">
        <f aca="false">IF(M356="","",J356-M356)</f>
        <v>1800</v>
      </c>
      <c r="O356" s="30" t="n">
        <f aca="false">IFERROR(N356/J356,0)</f>
        <v>0.305084745762712</v>
      </c>
      <c r="P356" s="27"/>
      <c r="Q356" s="27" t="s">
        <v>151</v>
      </c>
      <c r="R356" s="27" t="s">
        <v>152</v>
      </c>
      <c r="S356" s="27" t="n">
        <v>17</v>
      </c>
      <c r="T356" s="27"/>
    </row>
    <row r="357" customFormat="false" ht="15" hidden="false" customHeight="false" outlineLevel="0" collapsed="false">
      <c r="A357" s="26" t="n">
        <v>46082</v>
      </c>
      <c r="B357" s="27" t="n">
        <v>2026</v>
      </c>
      <c r="C357" s="27" t="n">
        <v>3</v>
      </c>
      <c r="D357" s="27" t="s">
        <v>82</v>
      </c>
      <c r="E357" s="27" t="s">
        <v>91</v>
      </c>
      <c r="F357" s="27" t="s">
        <v>103</v>
      </c>
      <c r="G357" s="27" t="s">
        <v>117</v>
      </c>
      <c r="H357" s="28" t="n">
        <v>4</v>
      </c>
      <c r="I357" s="29" t="n">
        <v>1450</v>
      </c>
      <c r="J357" s="29" t="n">
        <v>5800</v>
      </c>
      <c r="K357" s="29" t="n">
        <f aca="false">H357*I357</f>
        <v>5800</v>
      </c>
      <c r="L357" s="29" t="n">
        <f aca="false">IFERROR(INDEX(Cat_Productos!$B$2:$B$6,MATCH(G357,Cat_Productos!$A$2:$A$6,0)),"")</f>
        <v>780</v>
      </c>
      <c r="M357" s="29" t="n">
        <f aca="false">IF(L357="","",H357*L357)</f>
        <v>3120</v>
      </c>
      <c r="N357" s="29" t="n">
        <f aca="false">IF(M357="","",J357-M357)</f>
        <v>2680</v>
      </c>
      <c r="O357" s="30" t="n">
        <f aca="false">IFERROR(N357/J357,0)</f>
        <v>0.462068965517241</v>
      </c>
      <c r="P357" s="27"/>
      <c r="Q357" s="27" t="s">
        <v>153</v>
      </c>
      <c r="R357" s="27" t="s">
        <v>154</v>
      </c>
      <c r="S357" s="27" t="n">
        <v>153</v>
      </c>
      <c r="T357" s="27"/>
    </row>
    <row r="358" customFormat="false" ht="15" hidden="false" customHeight="false" outlineLevel="0" collapsed="false">
      <c r="A358" s="26" t="n">
        <v>46082</v>
      </c>
      <c r="B358" s="27" t="n">
        <v>2026</v>
      </c>
      <c r="C358" s="27" t="n">
        <v>3</v>
      </c>
      <c r="D358" s="27" t="s">
        <v>82</v>
      </c>
      <c r="E358" s="27" t="s">
        <v>91</v>
      </c>
      <c r="F358" s="27" t="s">
        <v>103</v>
      </c>
      <c r="G358" s="27" t="s">
        <v>117</v>
      </c>
      <c r="H358" s="28" t="n">
        <v>6</v>
      </c>
      <c r="I358" s="29" t="n">
        <v>1450</v>
      </c>
      <c r="J358" s="29" t="n">
        <v>8700</v>
      </c>
      <c r="K358" s="29" t="n">
        <f aca="false">H358*I358</f>
        <v>8700</v>
      </c>
      <c r="L358" s="29" t="n">
        <f aca="false">IFERROR(INDEX(Cat_Productos!$B$2:$B$6,MATCH(G358,Cat_Productos!$A$2:$A$6,0)),"")</f>
        <v>780</v>
      </c>
      <c r="M358" s="29" t="n">
        <f aca="false">IF(L358="","",H358*L358)</f>
        <v>4680</v>
      </c>
      <c r="N358" s="29" t="n">
        <f aca="false">IF(M358="","",J358-M358)</f>
        <v>4020</v>
      </c>
      <c r="O358" s="30" t="n">
        <f aca="false">IFERROR(N358/J358,0)</f>
        <v>0.462068965517241</v>
      </c>
      <c r="P358" s="27"/>
      <c r="Q358" s="27" t="s">
        <v>153</v>
      </c>
      <c r="R358" s="27" t="s">
        <v>154</v>
      </c>
      <c r="S358" s="27" t="n">
        <v>151</v>
      </c>
      <c r="T358" s="27"/>
    </row>
    <row r="359" customFormat="false" ht="15" hidden="false" customHeight="false" outlineLevel="0" collapsed="false">
      <c r="A359" s="26" t="n">
        <v>46082</v>
      </c>
      <c r="B359" s="27" t="n">
        <v>2026</v>
      </c>
      <c r="C359" s="27" t="n">
        <v>3</v>
      </c>
      <c r="D359" s="27" t="s">
        <v>82</v>
      </c>
      <c r="E359" s="27" t="s">
        <v>91</v>
      </c>
      <c r="F359" s="27" t="s">
        <v>103</v>
      </c>
      <c r="G359" s="27" t="s">
        <v>114</v>
      </c>
      <c r="H359" s="28" t="n">
        <v>6</v>
      </c>
      <c r="I359" s="29" t="n">
        <v>24500</v>
      </c>
      <c r="J359" s="29" t="n">
        <v>147000</v>
      </c>
      <c r="K359" s="29" t="n">
        <f aca="false">H359*I359</f>
        <v>147000</v>
      </c>
      <c r="L359" s="29" t="n">
        <f aca="false">IFERROR(INDEX(Cat_Productos!$B$2:$B$6,MATCH(G359,Cat_Productos!$A$2:$A$6,0)),"")</f>
        <v>19200</v>
      </c>
      <c r="M359" s="29" t="n">
        <f aca="false">IF(L359="","",H359*L359)</f>
        <v>115200</v>
      </c>
      <c r="N359" s="29" t="n">
        <f aca="false">IF(M359="","",J359-M359)</f>
        <v>31800</v>
      </c>
      <c r="O359" s="30" t="n">
        <f aca="false">IFERROR(N359/J359,0)</f>
        <v>0.216326530612245</v>
      </c>
      <c r="P359" s="27"/>
      <c r="Q359" s="27" t="s">
        <v>153</v>
      </c>
      <c r="R359" s="27" t="s">
        <v>154</v>
      </c>
      <c r="S359" s="27" t="n">
        <v>139</v>
      </c>
      <c r="T359" s="27"/>
    </row>
    <row r="360" customFormat="false" ht="15" hidden="false" customHeight="false" outlineLevel="0" collapsed="false">
      <c r="A360" s="26" t="n">
        <v>46082</v>
      </c>
      <c r="B360" s="27" t="n">
        <v>2026</v>
      </c>
      <c r="C360" s="27" t="n">
        <v>3</v>
      </c>
      <c r="D360" s="27" t="s">
        <v>82</v>
      </c>
      <c r="E360" s="27" t="s">
        <v>91</v>
      </c>
      <c r="F360" s="27" t="s">
        <v>103</v>
      </c>
      <c r="G360" s="27" t="s">
        <v>116</v>
      </c>
      <c r="H360" s="28" t="n">
        <v>6</v>
      </c>
      <c r="I360" s="29" t="n">
        <v>620</v>
      </c>
      <c r="J360" s="29" t="n">
        <v>3720</v>
      </c>
      <c r="K360" s="29" t="n">
        <f aca="false">H360*I360</f>
        <v>3720</v>
      </c>
      <c r="L360" s="29" t="n">
        <f aca="false">IFERROR(INDEX(Cat_Productos!$B$2:$B$6,MATCH(G360,Cat_Productos!$A$2:$A$6,0)),"")</f>
        <v>290</v>
      </c>
      <c r="M360" s="29" t="n">
        <f aca="false">IF(L360="","",H360*L360)</f>
        <v>1740</v>
      </c>
      <c r="N360" s="29" t="n">
        <f aca="false">IF(M360="","",J360-M360)</f>
        <v>1980</v>
      </c>
      <c r="O360" s="30" t="n">
        <f aca="false">IFERROR(N360/J360,0)</f>
        <v>0.532258064516129</v>
      </c>
      <c r="P360" s="27"/>
      <c r="Q360" s="27" t="s">
        <v>153</v>
      </c>
      <c r="R360" s="27" t="s">
        <v>154</v>
      </c>
      <c r="S360" s="27" t="n">
        <v>169</v>
      </c>
      <c r="T360" s="27"/>
    </row>
    <row r="361" customFormat="false" ht="15" hidden="false" customHeight="false" outlineLevel="0" collapsed="false">
      <c r="A361" s="26" t="n">
        <v>46082</v>
      </c>
      <c r="B361" s="27" t="n">
        <v>2026</v>
      </c>
      <c r="C361" s="27" t="n">
        <v>3</v>
      </c>
      <c r="D361" s="27" t="s">
        <v>82</v>
      </c>
      <c r="E361" s="27" t="s">
        <v>91</v>
      </c>
      <c r="F361" s="27" t="s">
        <v>103</v>
      </c>
      <c r="G361" s="27" t="s">
        <v>116</v>
      </c>
      <c r="H361" s="28" t="n">
        <v>6</v>
      </c>
      <c r="I361" s="29" t="n">
        <v>620</v>
      </c>
      <c r="J361" s="29" t="n">
        <v>3720</v>
      </c>
      <c r="K361" s="29" t="n">
        <f aca="false">H361*I361</f>
        <v>3720</v>
      </c>
      <c r="L361" s="29" t="n">
        <f aca="false">IFERROR(INDEX(Cat_Productos!$B$2:$B$6,MATCH(G361,Cat_Productos!$A$2:$A$6,0)),"")</f>
        <v>290</v>
      </c>
      <c r="M361" s="29" t="n">
        <f aca="false">IF(L361="","",H361*L361)</f>
        <v>1740</v>
      </c>
      <c r="N361" s="29" t="n">
        <f aca="false">IF(M361="","",J361-M361)</f>
        <v>1980</v>
      </c>
      <c r="O361" s="30" t="n">
        <f aca="false">IFERROR(N361/J361,0)</f>
        <v>0.532258064516129</v>
      </c>
      <c r="P361" s="27"/>
      <c r="Q361" s="27" t="s">
        <v>153</v>
      </c>
      <c r="R361" s="27" t="s">
        <v>154</v>
      </c>
      <c r="S361" s="27" t="n">
        <v>179</v>
      </c>
      <c r="T361" s="27"/>
    </row>
    <row r="362" customFormat="false" ht="15" hidden="false" customHeight="false" outlineLevel="0" collapsed="false">
      <c r="A362" s="26" t="n">
        <v>46082</v>
      </c>
      <c r="B362" s="27" t="n">
        <v>2026</v>
      </c>
      <c r="C362" s="27" t="n">
        <v>3</v>
      </c>
      <c r="D362" s="27" t="s">
        <v>82</v>
      </c>
      <c r="E362" s="27" t="s">
        <v>93</v>
      </c>
      <c r="F362" s="27" t="s">
        <v>108</v>
      </c>
      <c r="G362" s="27" t="s">
        <v>117</v>
      </c>
      <c r="H362" s="28" t="n">
        <v>4</v>
      </c>
      <c r="I362" s="29" t="n">
        <v>1450</v>
      </c>
      <c r="J362" s="29" t="n">
        <v>5800</v>
      </c>
      <c r="K362" s="29" t="n">
        <f aca="false">H362*I362</f>
        <v>5800</v>
      </c>
      <c r="L362" s="29" t="n">
        <f aca="false">IFERROR(INDEX(Cat_Productos!$B$2:$B$6,MATCH(G362,Cat_Productos!$A$2:$A$6,0)),"")</f>
        <v>780</v>
      </c>
      <c r="M362" s="29" t="n">
        <f aca="false">IF(L362="","",H362*L362)</f>
        <v>3120</v>
      </c>
      <c r="N362" s="29" t="n">
        <f aca="false">IF(M362="","",J362-M362)</f>
        <v>2680</v>
      </c>
      <c r="O362" s="30" t="n">
        <f aca="false">IFERROR(N362/J362,0)</f>
        <v>0.462068965517241</v>
      </c>
      <c r="P362" s="27"/>
      <c r="Q362" s="27" t="s">
        <v>153</v>
      </c>
      <c r="R362" s="27" t="s">
        <v>154</v>
      </c>
      <c r="S362" s="27" t="n">
        <v>76</v>
      </c>
      <c r="T362" s="27"/>
    </row>
    <row r="363" customFormat="false" ht="15" hidden="false" customHeight="false" outlineLevel="0" collapsed="false">
      <c r="A363" s="26" t="n">
        <v>46082</v>
      </c>
      <c r="B363" s="27" t="n">
        <v>2026</v>
      </c>
      <c r="C363" s="27" t="n">
        <v>3</v>
      </c>
      <c r="D363" s="27" t="s">
        <v>82</v>
      </c>
      <c r="E363" s="27" t="s">
        <v>92</v>
      </c>
      <c r="F363" s="27" t="s">
        <v>106</v>
      </c>
      <c r="G363" s="27" t="s">
        <v>117</v>
      </c>
      <c r="H363" s="28" t="n">
        <v>6</v>
      </c>
      <c r="I363" s="29" t="n">
        <v>1450</v>
      </c>
      <c r="J363" s="29" t="n">
        <v>8700</v>
      </c>
      <c r="K363" s="29" t="n">
        <f aca="false">H363*I363</f>
        <v>8700</v>
      </c>
      <c r="L363" s="29" t="n">
        <f aca="false">IFERROR(INDEX(Cat_Productos!$B$2:$B$6,MATCH(G363,Cat_Productos!$A$2:$A$6,0)),"")</f>
        <v>780</v>
      </c>
      <c r="M363" s="29" t="n">
        <f aca="false">IF(L363="","",H363*L363)</f>
        <v>4680</v>
      </c>
      <c r="N363" s="29" t="n">
        <f aca="false">IF(M363="","",J363-M363)</f>
        <v>4020</v>
      </c>
      <c r="O363" s="30" t="n">
        <f aca="false">IFERROR(N363/J363,0)</f>
        <v>0.462068965517241</v>
      </c>
      <c r="P363" s="27"/>
      <c r="Q363" s="27" t="s">
        <v>153</v>
      </c>
      <c r="R363" s="27" t="s">
        <v>154</v>
      </c>
      <c r="S363" s="27" t="n">
        <v>196</v>
      </c>
      <c r="T363" s="27"/>
    </row>
    <row r="364" customFormat="false" ht="15" hidden="false" customHeight="false" outlineLevel="0" collapsed="false">
      <c r="A364" s="26" t="n">
        <v>46082</v>
      </c>
      <c r="B364" s="27" t="n">
        <v>2026</v>
      </c>
      <c r="C364" s="27" t="n">
        <v>3</v>
      </c>
      <c r="D364" s="27" t="s">
        <v>82</v>
      </c>
      <c r="E364" s="27" t="s">
        <v>93</v>
      </c>
      <c r="F364" s="27" t="s">
        <v>104</v>
      </c>
      <c r="G364" s="27" t="s">
        <v>114</v>
      </c>
      <c r="H364" s="28" t="n">
        <v>2</v>
      </c>
      <c r="I364" s="29" t="n">
        <v>24500</v>
      </c>
      <c r="J364" s="29" t="n">
        <v>49000</v>
      </c>
      <c r="K364" s="29" t="n">
        <f aca="false">H364*I364</f>
        <v>49000</v>
      </c>
      <c r="L364" s="29" t="n">
        <f aca="false">IFERROR(INDEX(Cat_Productos!$B$2:$B$6,MATCH(G364,Cat_Productos!$A$2:$A$6,0)),"")</f>
        <v>19200</v>
      </c>
      <c r="M364" s="29" t="n">
        <f aca="false">IF(L364="","",H364*L364)</f>
        <v>38400</v>
      </c>
      <c r="N364" s="29" t="n">
        <f aca="false">IF(M364="","",J364-M364)</f>
        <v>10600</v>
      </c>
      <c r="O364" s="30" t="n">
        <f aca="false">IFERROR(N364/J364,0)</f>
        <v>0.216326530612245</v>
      </c>
      <c r="P364" s="27"/>
      <c r="Q364" s="27" t="s">
        <v>153</v>
      </c>
      <c r="R364" s="27" t="s">
        <v>154</v>
      </c>
      <c r="S364" s="27" t="n">
        <v>207</v>
      </c>
      <c r="T364" s="27"/>
    </row>
    <row r="365" customFormat="false" ht="15" hidden="false" customHeight="false" outlineLevel="0" collapsed="false">
      <c r="A365" s="26" t="n">
        <v>46082</v>
      </c>
      <c r="B365" s="27" t="n">
        <v>2026</v>
      </c>
      <c r="C365" s="27" t="n">
        <v>3</v>
      </c>
      <c r="D365" s="27" t="s">
        <v>82</v>
      </c>
      <c r="E365" s="27" t="s">
        <v>92</v>
      </c>
      <c r="F365" s="27" t="s">
        <v>105</v>
      </c>
      <c r="G365" s="27" t="s">
        <v>117</v>
      </c>
      <c r="H365" s="28" t="n">
        <v>1</v>
      </c>
      <c r="I365" s="29" t="n">
        <v>1450</v>
      </c>
      <c r="J365" s="29" t="n">
        <v>1450</v>
      </c>
      <c r="K365" s="29" t="n">
        <f aca="false">H365*I365</f>
        <v>1450</v>
      </c>
      <c r="L365" s="29" t="n">
        <f aca="false">IFERROR(INDEX(Cat_Productos!$B$2:$B$6,MATCH(G365,Cat_Productos!$A$2:$A$6,0)),"")</f>
        <v>780</v>
      </c>
      <c r="M365" s="29" t="n">
        <f aca="false">IF(L365="","",H365*L365)</f>
        <v>780</v>
      </c>
      <c r="N365" s="29" t="n">
        <f aca="false">IF(M365="","",J365-M365)</f>
        <v>670</v>
      </c>
      <c r="O365" s="30" t="n">
        <f aca="false">IFERROR(N365/J365,0)</f>
        <v>0.462068965517241</v>
      </c>
      <c r="P365" s="27"/>
      <c r="Q365" s="27" t="s">
        <v>153</v>
      </c>
      <c r="R365" s="27" t="s">
        <v>154</v>
      </c>
      <c r="S365" s="27" t="n">
        <v>31</v>
      </c>
      <c r="T365" s="27"/>
    </row>
    <row r="366" customFormat="false" ht="15" hidden="false" customHeight="false" outlineLevel="0" collapsed="false">
      <c r="A366" s="26" t="n">
        <v>46082</v>
      </c>
      <c r="B366" s="27" t="n">
        <v>2026</v>
      </c>
      <c r="C366" s="27" t="n">
        <v>3</v>
      </c>
      <c r="D366" s="27" t="s">
        <v>82</v>
      </c>
      <c r="E366" s="27" t="s">
        <v>92</v>
      </c>
      <c r="F366" s="27" t="s">
        <v>105</v>
      </c>
      <c r="G366" s="27" t="s">
        <v>117</v>
      </c>
      <c r="H366" s="28" t="n">
        <v>4</v>
      </c>
      <c r="I366" s="29" t="n">
        <v>1450</v>
      </c>
      <c r="J366" s="29" t="n">
        <v>5800</v>
      </c>
      <c r="K366" s="29" t="n">
        <f aca="false">H366*I366</f>
        <v>5800</v>
      </c>
      <c r="L366" s="29" t="n">
        <f aca="false">IFERROR(INDEX(Cat_Productos!$B$2:$B$6,MATCH(G366,Cat_Productos!$A$2:$A$6,0)),"")</f>
        <v>780</v>
      </c>
      <c r="M366" s="29" t="n">
        <f aca="false">IF(L366="","",H366*L366)</f>
        <v>3120</v>
      </c>
      <c r="N366" s="29" t="n">
        <f aca="false">IF(M366="","",J366-M366)</f>
        <v>2680</v>
      </c>
      <c r="O366" s="30" t="n">
        <f aca="false">IFERROR(N366/J366,0)</f>
        <v>0.462068965517241</v>
      </c>
      <c r="P366" s="27"/>
      <c r="Q366" s="27" t="s">
        <v>153</v>
      </c>
      <c r="R366" s="27" t="s">
        <v>154</v>
      </c>
      <c r="S366" s="27" t="n">
        <v>21</v>
      </c>
      <c r="T366" s="27"/>
    </row>
    <row r="367" customFormat="false" ht="15" hidden="false" customHeight="false" outlineLevel="0" collapsed="false">
      <c r="A367" s="26" t="n">
        <v>46082</v>
      </c>
      <c r="B367" s="27" t="n">
        <v>2026</v>
      </c>
      <c r="C367" s="27" t="n">
        <v>3</v>
      </c>
      <c r="D367" s="27" t="s">
        <v>82</v>
      </c>
      <c r="E367" s="27" t="s">
        <v>92</v>
      </c>
      <c r="F367" s="27" t="s">
        <v>105</v>
      </c>
      <c r="G367" s="27" t="s">
        <v>116</v>
      </c>
      <c r="H367" s="28" t="n">
        <v>2</v>
      </c>
      <c r="I367" s="29" t="n">
        <v>620</v>
      </c>
      <c r="J367" s="29" t="n">
        <v>1240</v>
      </c>
      <c r="K367" s="29" t="n">
        <f aca="false">H367*I367</f>
        <v>1240</v>
      </c>
      <c r="L367" s="29" t="n">
        <f aca="false">IFERROR(INDEX(Cat_Productos!$B$2:$B$6,MATCH(G367,Cat_Productos!$A$2:$A$6,0)),"")</f>
        <v>290</v>
      </c>
      <c r="M367" s="29" t="n">
        <f aca="false">IF(L367="","",H367*L367)</f>
        <v>580</v>
      </c>
      <c r="N367" s="29" t="n">
        <f aca="false">IF(M367="","",J367-M367)</f>
        <v>660</v>
      </c>
      <c r="O367" s="30" t="n">
        <f aca="false">IFERROR(N367/J367,0)</f>
        <v>0.532258064516129</v>
      </c>
      <c r="P367" s="27"/>
      <c r="Q367" s="27" t="s">
        <v>153</v>
      </c>
      <c r="R367" s="27" t="s">
        <v>154</v>
      </c>
      <c r="S367" s="27" t="n">
        <v>41</v>
      </c>
      <c r="T367" s="27"/>
    </row>
    <row r="368" customFormat="false" ht="15" hidden="false" customHeight="false" outlineLevel="0" collapsed="false">
      <c r="A368" s="26" t="n">
        <v>46082</v>
      </c>
      <c r="B368" s="27" t="n">
        <v>2026</v>
      </c>
      <c r="C368" s="27" t="n">
        <v>3</v>
      </c>
      <c r="D368" s="27" t="s">
        <v>82</v>
      </c>
      <c r="E368" s="27" t="s">
        <v>91</v>
      </c>
      <c r="F368" s="27" t="s">
        <v>103</v>
      </c>
      <c r="G368" s="27" t="s">
        <v>117</v>
      </c>
      <c r="H368" s="28" t="n">
        <v>6</v>
      </c>
      <c r="I368" s="29" t="n">
        <v>1450</v>
      </c>
      <c r="J368" s="29" t="n">
        <v>8700</v>
      </c>
      <c r="K368" s="29" t="n">
        <f aca="false">H368*I368</f>
        <v>8700</v>
      </c>
      <c r="L368" s="29" t="n">
        <f aca="false">IFERROR(INDEX(Cat_Productos!$B$2:$B$6,MATCH(G368,Cat_Productos!$A$2:$A$6,0)),"")</f>
        <v>780</v>
      </c>
      <c r="M368" s="29" t="n">
        <f aca="false">IF(L368="","",H368*L368)</f>
        <v>4680</v>
      </c>
      <c r="N368" s="29" t="n">
        <f aca="false">IF(M368="","",J368-M368)</f>
        <v>4020</v>
      </c>
      <c r="O368" s="30" t="n">
        <f aca="false">IFERROR(N368/J368,0)</f>
        <v>0.462068965517241</v>
      </c>
      <c r="P368" s="27"/>
      <c r="Q368" s="27" t="s">
        <v>153</v>
      </c>
      <c r="R368" s="27" t="s">
        <v>154</v>
      </c>
      <c r="S368" s="27" t="n">
        <v>155</v>
      </c>
      <c r="T368" s="27"/>
    </row>
    <row r="369" customFormat="false" ht="15" hidden="false" customHeight="false" outlineLevel="0" collapsed="false">
      <c r="A369" s="26" t="n">
        <v>46084</v>
      </c>
      <c r="B369" s="27" t="n">
        <v>2026</v>
      </c>
      <c r="C369" s="27" t="n">
        <v>3</v>
      </c>
      <c r="D369" s="27" t="s">
        <v>82</v>
      </c>
      <c r="E369" s="27" t="s">
        <v>93</v>
      </c>
      <c r="F369" s="27" t="s">
        <v>104</v>
      </c>
      <c r="G369" s="27" t="s">
        <v>114</v>
      </c>
      <c r="H369" s="28" t="n">
        <v>2</v>
      </c>
      <c r="I369" s="29" t="n">
        <v>24500</v>
      </c>
      <c r="J369" s="29" t="n">
        <v>49000</v>
      </c>
      <c r="K369" s="29" t="n">
        <f aca="false">H369*I369</f>
        <v>49000</v>
      </c>
      <c r="L369" s="29" t="n">
        <f aca="false">IFERROR(INDEX(Cat_Productos!$B$2:$B$6,MATCH(G369,Cat_Productos!$A$2:$A$6,0)),"")</f>
        <v>19200</v>
      </c>
      <c r="M369" s="29" t="n">
        <f aca="false">IF(L369="","",H369*L369)</f>
        <v>38400</v>
      </c>
      <c r="N369" s="29" t="n">
        <f aca="false">IF(M369="","",J369-M369)</f>
        <v>10600</v>
      </c>
      <c r="O369" s="30" t="n">
        <f aca="false">IFERROR(N369/J369,0)</f>
        <v>0.216326530612245</v>
      </c>
      <c r="P369" s="27"/>
      <c r="Q369" s="27" t="s">
        <v>153</v>
      </c>
      <c r="R369" s="27" t="s">
        <v>154</v>
      </c>
      <c r="S369" s="27" t="n">
        <v>206</v>
      </c>
      <c r="T369" s="27"/>
    </row>
    <row r="370" customFormat="false" ht="15" hidden="false" customHeight="false" outlineLevel="0" collapsed="false">
      <c r="A370" s="26" t="n">
        <v>46084</v>
      </c>
      <c r="B370" s="27" t="n">
        <v>2026</v>
      </c>
      <c r="C370" s="27" t="n">
        <v>3</v>
      </c>
      <c r="D370" s="27" t="s">
        <v>82</v>
      </c>
      <c r="E370" s="27" t="s">
        <v>92</v>
      </c>
      <c r="F370" s="27" t="s">
        <v>106</v>
      </c>
      <c r="G370" s="27" t="s">
        <v>116</v>
      </c>
      <c r="H370" s="28" t="n">
        <v>4</v>
      </c>
      <c r="I370" s="29" t="n">
        <v>620</v>
      </c>
      <c r="J370" s="29" t="n">
        <v>2480</v>
      </c>
      <c r="K370" s="29" t="n">
        <f aca="false">H370*I370</f>
        <v>2480</v>
      </c>
      <c r="L370" s="29" t="n">
        <f aca="false">IFERROR(INDEX(Cat_Productos!$B$2:$B$6,MATCH(G370,Cat_Productos!$A$2:$A$6,0)),"")</f>
        <v>290</v>
      </c>
      <c r="M370" s="29" t="n">
        <f aca="false">IF(L370="","",H370*L370)</f>
        <v>1160</v>
      </c>
      <c r="N370" s="29" t="n">
        <f aca="false">IF(M370="","",J370-M370)</f>
        <v>1320</v>
      </c>
      <c r="O370" s="30" t="n">
        <f aca="false">IFERROR(N370/J370,0)</f>
        <v>0.532258064516129</v>
      </c>
      <c r="P370" s="27"/>
      <c r="Q370" s="27" t="s">
        <v>153</v>
      </c>
      <c r="R370" s="27" t="s">
        <v>154</v>
      </c>
      <c r="S370" s="27" t="n">
        <v>203</v>
      </c>
      <c r="T370" s="27"/>
    </row>
    <row r="371" customFormat="false" ht="15" hidden="false" customHeight="false" outlineLevel="0" collapsed="false">
      <c r="A371" s="26" t="n">
        <v>46084</v>
      </c>
      <c r="B371" s="27" t="n">
        <v>2026</v>
      </c>
      <c r="C371" s="27" t="n">
        <v>3</v>
      </c>
      <c r="D371" s="27" t="s">
        <v>82</v>
      </c>
      <c r="E371" s="27" t="s">
        <v>91</v>
      </c>
      <c r="F371" s="27" t="s">
        <v>103</v>
      </c>
      <c r="G371" s="27" t="s">
        <v>116</v>
      </c>
      <c r="H371" s="28" t="n">
        <v>4</v>
      </c>
      <c r="I371" s="29" t="n">
        <v>620</v>
      </c>
      <c r="J371" s="29" t="n">
        <v>2480</v>
      </c>
      <c r="K371" s="29" t="n">
        <f aca="false">H371*I371</f>
        <v>2480</v>
      </c>
      <c r="L371" s="29" t="n">
        <f aca="false">IFERROR(INDEX(Cat_Productos!$B$2:$B$6,MATCH(G371,Cat_Productos!$A$2:$A$6,0)),"")</f>
        <v>290</v>
      </c>
      <c r="M371" s="29" t="n">
        <f aca="false">IF(L371="","",H371*L371)</f>
        <v>1160</v>
      </c>
      <c r="N371" s="29" t="n">
        <f aca="false">IF(M371="","",J371-M371)</f>
        <v>1320</v>
      </c>
      <c r="O371" s="30" t="n">
        <f aca="false">IFERROR(N371/J371,0)</f>
        <v>0.532258064516129</v>
      </c>
      <c r="P371" s="27"/>
      <c r="Q371" s="27" t="s">
        <v>153</v>
      </c>
      <c r="R371" s="27" t="s">
        <v>154</v>
      </c>
      <c r="S371" s="27" t="n">
        <v>170</v>
      </c>
      <c r="T371" s="27"/>
    </row>
    <row r="372" customFormat="false" ht="15" hidden="false" customHeight="false" outlineLevel="0" collapsed="false">
      <c r="A372" s="26" t="n">
        <v>46084</v>
      </c>
      <c r="B372" s="27" t="n">
        <v>2026</v>
      </c>
      <c r="C372" s="27" t="n">
        <v>3</v>
      </c>
      <c r="D372" s="27" t="s">
        <v>82</v>
      </c>
      <c r="E372" s="27" t="s">
        <v>92</v>
      </c>
      <c r="F372" s="27" t="s">
        <v>105</v>
      </c>
      <c r="G372" s="27" t="s">
        <v>116</v>
      </c>
      <c r="H372" s="28" t="n">
        <v>6</v>
      </c>
      <c r="I372" s="29" t="n">
        <v>620</v>
      </c>
      <c r="J372" s="29" t="n">
        <v>3720</v>
      </c>
      <c r="K372" s="29" t="n">
        <f aca="false">H372*I372</f>
        <v>3720</v>
      </c>
      <c r="L372" s="29" t="n">
        <f aca="false">IFERROR(INDEX(Cat_Productos!$B$2:$B$6,MATCH(G372,Cat_Productos!$A$2:$A$6,0)),"")</f>
        <v>290</v>
      </c>
      <c r="M372" s="29" t="n">
        <f aca="false">IF(L372="","",H372*L372)</f>
        <v>1740</v>
      </c>
      <c r="N372" s="29" t="n">
        <f aca="false">IF(M372="","",J372-M372)</f>
        <v>1980</v>
      </c>
      <c r="O372" s="30" t="n">
        <f aca="false">IFERROR(N372/J372,0)</f>
        <v>0.532258064516129</v>
      </c>
      <c r="P372" s="27"/>
      <c r="Q372" s="27" t="s">
        <v>153</v>
      </c>
      <c r="R372" s="27" t="s">
        <v>154</v>
      </c>
      <c r="S372" s="27" t="n">
        <v>40</v>
      </c>
      <c r="T372" s="27"/>
    </row>
    <row r="373" customFormat="false" ht="15" hidden="false" customHeight="false" outlineLevel="0" collapsed="false">
      <c r="A373" s="26" t="n">
        <v>46084</v>
      </c>
      <c r="B373" s="27" t="n">
        <v>2026</v>
      </c>
      <c r="C373" s="27" t="n">
        <v>3</v>
      </c>
      <c r="D373" s="27" t="s">
        <v>82</v>
      </c>
      <c r="E373" s="27" t="s">
        <v>93</v>
      </c>
      <c r="F373" s="27" t="s">
        <v>108</v>
      </c>
      <c r="G373" s="27" t="s">
        <v>114</v>
      </c>
      <c r="H373" s="28" t="n">
        <v>4</v>
      </c>
      <c r="I373" s="29" t="n">
        <v>24500</v>
      </c>
      <c r="J373" s="29" t="n">
        <v>98000</v>
      </c>
      <c r="K373" s="29" t="n">
        <f aca="false">H373*I373</f>
        <v>98000</v>
      </c>
      <c r="L373" s="29" t="n">
        <f aca="false">IFERROR(INDEX(Cat_Productos!$B$2:$B$6,MATCH(G373,Cat_Productos!$A$2:$A$6,0)),"")</f>
        <v>19200</v>
      </c>
      <c r="M373" s="29" t="n">
        <f aca="false">IF(L373="","",H373*L373)</f>
        <v>76800</v>
      </c>
      <c r="N373" s="29" t="n">
        <f aca="false">IF(M373="","",J373-M373)</f>
        <v>21200</v>
      </c>
      <c r="O373" s="30" t="n">
        <f aca="false">IFERROR(N373/J373,0)</f>
        <v>0.216326530612245</v>
      </c>
      <c r="P373" s="27"/>
      <c r="Q373" s="27" t="s">
        <v>153</v>
      </c>
      <c r="R373" s="27" t="s">
        <v>154</v>
      </c>
      <c r="S373" s="27" t="n">
        <v>59</v>
      </c>
      <c r="T373" s="27"/>
    </row>
    <row r="374" customFormat="false" ht="15" hidden="false" customHeight="false" outlineLevel="0" collapsed="false">
      <c r="A374" s="26" t="n">
        <v>46084</v>
      </c>
      <c r="B374" s="27" t="n">
        <v>2026</v>
      </c>
      <c r="C374" s="27" t="n">
        <v>3</v>
      </c>
      <c r="D374" s="27" t="s">
        <v>82</v>
      </c>
      <c r="E374" s="27" t="s">
        <v>91</v>
      </c>
      <c r="F374" s="27" t="s">
        <v>103</v>
      </c>
      <c r="G374" s="27" t="s">
        <v>116</v>
      </c>
      <c r="H374" s="28" t="n">
        <v>6</v>
      </c>
      <c r="I374" s="29" t="n">
        <v>620</v>
      </c>
      <c r="J374" s="29" t="n">
        <v>3720</v>
      </c>
      <c r="K374" s="29" t="n">
        <f aca="false">H374*I374</f>
        <v>3720</v>
      </c>
      <c r="L374" s="29" t="n">
        <f aca="false">IFERROR(INDEX(Cat_Productos!$B$2:$B$6,MATCH(G374,Cat_Productos!$A$2:$A$6,0)),"")</f>
        <v>290</v>
      </c>
      <c r="M374" s="29" t="n">
        <f aca="false">IF(L374="","",H374*L374)</f>
        <v>1740</v>
      </c>
      <c r="N374" s="29" t="n">
        <f aca="false">IF(M374="","",J374-M374)</f>
        <v>1980</v>
      </c>
      <c r="O374" s="30" t="n">
        <f aca="false">IFERROR(N374/J374,0)</f>
        <v>0.532258064516129</v>
      </c>
      <c r="P374" s="27"/>
      <c r="Q374" s="27" t="s">
        <v>153</v>
      </c>
      <c r="R374" s="27" t="s">
        <v>154</v>
      </c>
      <c r="S374" s="27" t="n">
        <v>164</v>
      </c>
      <c r="T374" s="27"/>
    </row>
    <row r="375" customFormat="false" ht="15" hidden="false" customHeight="false" outlineLevel="0" collapsed="false">
      <c r="A375" s="26" t="n">
        <v>46084</v>
      </c>
      <c r="B375" s="27" t="n">
        <v>2026</v>
      </c>
      <c r="C375" s="27" t="n">
        <v>3</v>
      </c>
      <c r="D375" s="27" t="s">
        <v>82</v>
      </c>
      <c r="E375" s="27" t="s">
        <v>92</v>
      </c>
      <c r="F375" s="27" t="s">
        <v>106</v>
      </c>
      <c r="G375" s="27" t="s">
        <v>117</v>
      </c>
      <c r="H375" s="28" t="n">
        <v>2</v>
      </c>
      <c r="I375" s="29" t="n">
        <v>1450</v>
      </c>
      <c r="J375" s="29" t="n">
        <v>2900</v>
      </c>
      <c r="K375" s="29" t="n">
        <f aca="false">H375*I375</f>
        <v>2900</v>
      </c>
      <c r="L375" s="29" t="n">
        <f aca="false">IFERROR(INDEX(Cat_Productos!$B$2:$B$6,MATCH(G375,Cat_Productos!$A$2:$A$6,0)),"")</f>
        <v>780</v>
      </c>
      <c r="M375" s="29" t="n">
        <f aca="false">IF(L375="","",H375*L375)</f>
        <v>1560</v>
      </c>
      <c r="N375" s="29" t="n">
        <f aca="false">IF(M375="","",J375-M375)</f>
        <v>1340</v>
      </c>
      <c r="O375" s="30" t="n">
        <f aca="false">IFERROR(N375/J375,0)</f>
        <v>0.462068965517241</v>
      </c>
      <c r="P375" s="27"/>
      <c r="Q375" s="27" t="s">
        <v>153</v>
      </c>
      <c r="R375" s="27" t="s">
        <v>154</v>
      </c>
      <c r="S375" s="27" t="n">
        <v>197</v>
      </c>
      <c r="T375" s="27"/>
    </row>
    <row r="376" customFormat="false" ht="15" hidden="false" customHeight="false" outlineLevel="0" collapsed="false">
      <c r="A376" s="26" t="n">
        <v>46084</v>
      </c>
      <c r="B376" s="27" t="n">
        <v>2026</v>
      </c>
      <c r="C376" s="27" t="n">
        <v>3</v>
      </c>
      <c r="D376" s="27" t="s">
        <v>82</v>
      </c>
      <c r="E376" s="27" t="s">
        <v>91</v>
      </c>
      <c r="F376" s="27" t="s">
        <v>107</v>
      </c>
      <c r="G376" s="27" t="s">
        <v>117</v>
      </c>
      <c r="H376" s="28" t="n">
        <v>4</v>
      </c>
      <c r="I376" s="29" t="n">
        <v>1450</v>
      </c>
      <c r="J376" s="29" t="n">
        <v>5800</v>
      </c>
      <c r="K376" s="29" t="n">
        <f aca="false">H376*I376</f>
        <v>5800</v>
      </c>
      <c r="L376" s="29" t="n">
        <f aca="false">IFERROR(INDEX(Cat_Productos!$B$2:$B$6,MATCH(G376,Cat_Productos!$A$2:$A$6,0)),"")</f>
        <v>780</v>
      </c>
      <c r="M376" s="29" t="n">
        <f aca="false">IF(L376="","",H376*L376)</f>
        <v>3120</v>
      </c>
      <c r="N376" s="29" t="n">
        <f aca="false">IF(M376="","",J376-M376)</f>
        <v>2680</v>
      </c>
      <c r="O376" s="30" t="n">
        <f aca="false">IFERROR(N376/J376,0)</f>
        <v>0.462068965517241</v>
      </c>
      <c r="P376" s="27"/>
      <c r="Q376" s="27" t="s">
        <v>153</v>
      </c>
      <c r="R376" s="27" t="s">
        <v>154</v>
      </c>
      <c r="S376" s="27" t="n">
        <v>114</v>
      </c>
      <c r="T376" s="27"/>
    </row>
    <row r="377" customFormat="false" ht="15" hidden="false" customHeight="false" outlineLevel="0" collapsed="false">
      <c r="A377" s="26" t="n">
        <v>46084</v>
      </c>
      <c r="B377" s="27" t="n">
        <v>2026</v>
      </c>
      <c r="C377" s="27" t="n">
        <v>3</v>
      </c>
      <c r="D377" s="27" t="s">
        <v>82</v>
      </c>
      <c r="E377" s="27" t="s">
        <v>91</v>
      </c>
      <c r="F377" s="27" t="s">
        <v>103</v>
      </c>
      <c r="G377" s="27" t="s">
        <v>114</v>
      </c>
      <c r="H377" s="28" t="n">
        <v>2</v>
      </c>
      <c r="I377" s="29" t="n">
        <v>24500</v>
      </c>
      <c r="J377" s="29" t="n">
        <v>49000</v>
      </c>
      <c r="K377" s="29" t="n">
        <f aca="false">H377*I377</f>
        <v>49000</v>
      </c>
      <c r="L377" s="29" t="n">
        <f aca="false">IFERROR(INDEX(Cat_Productos!$B$2:$B$6,MATCH(G377,Cat_Productos!$A$2:$A$6,0)),"")</f>
        <v>19200</v>
      </c>
      <c r="M377" s="29" t="n">
        <f aca="false">IF(L377="","",H377*L377)</f>
        <v>38400</v>
      </c>
      <c r="N377" s="29" t="n">
        <f aca="false">IF(M377="","",J377-M377)</f>
        <v>10600</v>
      </c>
      <c r="O377" s="30" t="n">
        <f aca="false">IFERROR(N377/J377,0)</f>
        <v>0.216326530612245</v>
      </c>
      <c r="P377" s="27"/>
      <c r="Q377" s="27" t="s">
        <v>153</v>
      </c>
      <c r="R377" s="27" t="s">
        <v>154</v>
      </c>
      <c r="S377" s="27" t="n">
        <v>138</v>
      </c>
      <c r="T377" s="27"/>
    </row>
    <row r="378" customFormat="false" ht="15" hidden="false" customHeight="false" outlineLevel="0" collapsed="false">
      <c r="A378" s="26" t="n">
        <v>46084</v>
      </c>
      <c r="B378" s="27" t="n">
        <v>2026</v>
      </c>
      <c r="C378" s="27" t="n">
        <v>3</v>
      </c>
      <c r="D378" s="27" t="s">
        <v>82</v>
      </c>
      <c r="E378" s="27" t="s">
        <v>91</v>
      </c>
      <c r="F378" s="27" t="s">
        <v>103</v>
      </c>
      <c r="G378" s="27" t="s">
        <v>117</v>
      </c>
      <c r="H378" s="28" t="n">
        <v>6</v>
      </c>
      <c r="I378" s="29" t="n">
        <v>1450</v>
      </c>
      <c r="J378" s="29" t="n">
        <v>8700</v>
      </c>
      <c r="K378" s="29" t="n">
        <f aca="false">H378*I378</f>
        <v>8700</v>
      </c>
      <c r="L378" s="29" t="n">
        <f aca="false">IFERROR(INDEX(Cat_Productos!$B$2:$B$6,MATCH(G378,Cat_Productos!$A$2:$A$6,0)),"")</f>
        <v>780</v>
      </c>
      <c r="M378" s="29" t="n">
        <f aca="false">IF(L378="","",H378*L378)</f>
        <v>4680</v>
      </c>
      <c r="N378" s="29" t="n">
        <f aca="false">IF(M378="","",J378-M378)</f>
        <v>4020</v>
      </c>
      <c r="O378" s="30" t="n">
        <f aca="false">IFERROR(N378/J378,0)</f>
        <v>0.462068965517241</v>
      </c>
      <c r="P378" s="27"/>
      <c r="Q378" s="27" t="s">
        <v>153</v>
      </c>
      <c r="R378" s="27" t="s">
        <v>154</v>
      </c>
      <c r="S378" s="27" t="n">
        <v>142</v>
      </c>
      <c r="T378" s="27"/>
    </row>
    <row r="379" customFormat="false" ht="15" hidden="false" customHeight="false" outlineLevel="0" collapsed="false">
      <c r="A379" s="26" t="n">
        <v>46084</v>
      </c>
      <c r="B379" s="27" t="n">
        <v>2026</v>
      </c>
      <c r="C379" s="27" t="n">
        <v>3</v>
      </c>
      <c r="D379" s="27" t="s">
        <v>82</v>
      </c>
      <c r="E379" s="27" t="s">
        <v>93</v>
      </c>
      <c r="F379" s="27" t="s">
        <v>104</v>
      </c>
      <c r="G379" s="27" t="s">
        <v>114</v>
      </c>
      <c r="H379" s="28" t="n">
        <v>2</v>
      </c>
      <c r="I379" s="29" t="n">
        <v>24500</v>
      </c>
      <c r="J379" s="29" t="n">
        <v>49000</v>
      </c>
      <c r="K379" s="29" t="n">
        <f aca="false">H379*I379</f>
        <v>49000</v>
      </c>
      <c r="L379" s="29" t="n">
        <f aca="false">IFERROR(INDEX(Cat_Productos!$B$2:$B$6,MATCH(G379,Cat_Productos!$A$2:$A$6,0)),"")</f>
        <v>19200</v>
      </c>
      <c r="M379" s="29" t="n">
        <f aca="false">IF(L379="","",H379*L379)</f>
        <v>38400</v>
      </c>
      <c r="N379" s="29" t="n">
        <f aca="false">IF(M379="","",J379-M379)</f>
        <v>10600</v>
      </c>
      <c r="O379" s="30" t="n">
        <f aca="false">IFERROR(N379/J379,0)</f>
        <v>0.216326530612245</v>
      </c>
      <c r="P379" s="27"/>
      <c r="Q379" s="27" t="s">
        <v>153</v>
      </c>
      <c r="R379" s="27" t="s">
        <v>154</v>
      </c>
      <c r="S379" s="27" t="n">
        <v>208</v>
      </c>
      <c r="T379" s="27"/>
    </row>
    <row r="380" customFormat="false" ht="15" hidden="false" customHeight="false" outlineLevel="0" collapsed="false">
      <c r="A380" s="26" t="n">
        <v>46084</v>
      </c>
      <c r="B380" s="27" t="n">
        <v>2026</v>
      </c>
      <c r="C380" s="27" t="n">
        <v>3</v>
      </c>
      <c r="D380" s="27" t="s">
        <v>82</v>
      </c>
      <c r="E380" s="27" t="s">
        <v>93</v>
      </c>
      <c r="F380" s="27" t="s">
        <v>108</v>
      </c>
      <c r="G380" s="27" t="s">
        <v>117</v>
      </c>
      <c r="H380" s="28" t="n">
        <v>2</v>
      </c>
      <c r="I380" s="29" t="n">
        <v>1450</v>
      </c>
      <c r="J380" s="29" t="n">
        <v>2900</v>
      </c>
      <c r="K380" s="29" t="n">
        <f aca="false">H380*I380</f>
        <v>2900</v>
      </c>
      <c r="L380" s="29" t="n">
        <f aca="false">IFERROR(INDEX(Cat_Productos!$B$2:$B$6,MATCH(G380,Cat_Productos!$A$2:$A$6,0)),"")</f>
        <v>780</v>
      </c>
      <c r="M380" s="29" t="n">
        <f aca="false">IF(L380="","",H380*L380)</f>
        <v>1560</v>
      </c>
      <c r="N380" s="29" t="n">
        <f aca="false">IF(M380="","",J380-M380)</f>
        <v>1340</v>
      </c>
      <c r="O380" s="30" t="n">
        <f aca="false">IFERROR(N380/J380,0)</f>
        <v>0.462068965517241</v>
      </c>
      <c r="P380" s="27"/>
      <c r="Q380" s="27" t="s">
        <v>153</v>
      </c>
      <c r="R380" s="27" t="s">
        <v>154</v>
      </c>
      <c r="S380" s="27" t="n">
        <v>69</v>
      </c>
      <c r="T380" s="27"/>
    </row>
    <row r="381" customFormat="false" ht="15" hidden="false" customHeight="false" outlineLevel="0" collapsed="false">
      <c r="A381" s="26" t="n">
        <v>46084</v>
      </c>
      <c r="B381" s="27" t="n">
        <v>2026</v>
      </c>
      <c r="C381" s="27" t="n">
        <v>3</v>
      </c>
      <c r="D381" s="27" t="s">
        <v>82</v>
      </c>
      <c r="E381" s="27" t="s">
        <v>91</v>
      </c>
      <c r="F381" s="27" t="s">
        <v>107</v>
      </c>
      <c r="G381" s="27" t="s">
        <v>117</v>
      </c>
      <c r="H381" s="28" t="n">
        <v>2</v>
      </c>
      <c r="I381" s="29" t="n">
        <v>1450</v>
      </c>
      <c r="J381" s="29" t="n">
        <v>2900</v>
      </c>
      <c r="K381" s="29" t="n">
        <f aca="false">H381*I381</f>
        <v>2900</v>
      </c>
      <c r="L381" s="29" t="n">
        <f aca="false">IFERROR(INDEX(Cat_Productos!$B$2:$B$6,MATCH(G381,Cat_Productos!$A$2:$A$6,0)),"")</f>
        <v>780</v>
      </c>
      <c r="M381" s="29" t="n">
        <f aca="false">IF(L381="","",H381*L381)</f>
        <v>1560</v>
      </c>
      <c r="N381" s="29" t="n">
        <f aca="false">IF(M381="","",J381-M381)</f>
        <v>1340</v>
      </c>
      <c r="O381" s="30" t="n">
        <f aca="false">IFERROR(N381/J381,0)</f>
        <v>0.462068965517241</v>
      </c>
      <c r="P381" s="27"/>
      <c r="Q381" s="27" t="s">
        <v>153</v>
      </c>
      <c r="R381" s="27" t="s">
        <v>154</v>
      </c>
      <c r="S381" s="27" t="n">
        <v>112</v>
      </c>
      <c r="T381" s="27"/>
    </row>
    <row r="382" customFormat="false" ht="15" hidden="false" customHeight="false" outlineLevel="0" collapsed="false">
      <c r="A382" s="26" t="n">
        <v>46084</v>
      </c>
      <c r="B382" s="27" t="n">
        <v>2026</v>
      </c>
      <c r="C382" s="27" t="n">
        <v>3</v>
      </c>
      <c r="D382" s="27" t="s">
        <v>82</v>
      </c>
      <c r="E382" s="27" t="s">
        <v>93</v>
      </c>
      <c r="F382" s="27" t="s">
        <v>108</v>
      </c>
      <c r="G382" s="27" t="s">
        <v>117</v>
      </c>
      <c r="H382" s="28" t="n">
        <v>2</v>
      </c>
      <c r="I382" s="29" t="n">
        <v>1450</v>
      </c>
      <c r="J382" s="29" t="n">
        <v>2900</v>
      </c>
      <c r="K382" s="29" t="n">
        <f aca="false">H382*I382</f>
        <v>2900</v>
      </c>
      <c r="L382" s="29" t="n">
        <f aca="false">IFERROR(INDEX(Cat_Productos!$B$2:$B$6,MATCH(G382,Cat_Productos!$A$2:$A$6,0)),"")</f>
        <v>780</v>
      </c>
      <c r="M382" s="29" t="n">
        <f aca="false">IF(L382="","",H382*L382)</f>
        <v>1560</v>
      </c>
      <c r="N382" s="29" t="n">
        <f aca="false">IF(M382="","",J382-M382)</f>
        <v>1340</v>
      </c>
      <c r="O382" s="30" t="n">
        <f aca="false">IFERROR(N382/J382,0)</f>
        <v>0.462068965517241</v>
      </c>
      <c r="P382" s="27"/>
      <c r="Q382" s="27" t="s">
        <v>153</v>
      </c>
      <c r="R382" s="27" t="s">
        <v>154</v>
      </c>
      <c r="S382" s="27" t="n">
        <v>71</v>
      </c>
      <c r="T382" s="27"/>
    </row>
    <row r="383" customFormat="false" ht="15" hidden="false" customHeight="false" outlineLevel="0" collapsed="false">
      <c r="A383" s="26" t="n">
        <v>46084</v>
      </c>
      <c r="B383" s="27" t="n">
        <v>2026</v>
      </c>
      <c r="C383" s="27" t="n">
        <v>3</v>
      </c>
      <c r="D383" s="27" t="s">
        <v>82</v>
      </c>
      <c r="E383" s="27" t="s">
        <v>92</v>
      </c>
      <c r="F383" s="27" t="s">
        <v>105</v>
      </c>
      <c r="G383" s="27" t="s">
        <v>117</v>
      </c>
      <c r="H383" s="28" t="n">
        <v>6</v>
      </c>
      <c r="I383" s="29" t="n">
        <v>1450</v>
      </c>
      <c r="J383" s="29" t="n">
        <v>8700</v>
      </c>
      <c r="K383" s="29" t="n">
        <f aca="false">H383*I383</f>
        <v>8700</v>
      </c>
      <c r="L383" s="29" t="n">
        <f aca="false">IFERROR(INDEX(Cat_Productos!$B$2:$B$6,MATCH(G383,Cat_Productos!$A$2:$A$6,0)),"")</f>
        <v>780</v>
      </c>
      <c r="M383" s="29" t="n">
        <f aca="false">IF(L383="","",H383*L383)</f>
        <v>4680</v>
      </c>
      <c r="N383" s="29" t="n">
        <f aca="false">IF(M383="","",J383-M383)</f>
        <v>4020</v>
      </c>
      <c r="O383" s="30" t="n">
        <f aca="false">IFERROR(N383/J383,0)</f>
        <v>0.462068965517241</v>
      </c>
      <c r="P383" s="27"/>
      <c r="Q383" s="27" t="s">
        <v>153</v>
      </c>
      <c r="R383" s="27" t="s">
        <v>154</v>
      </c>
      <c r="S383" s="27" t="n">
        <v>12</v>
      </c>
      <c r="T383" s="27"/>
    </row>
    <row r="384" customFormat="false" ht="15" hidden="false" customHeight="false" outlineLevel="0" collapsed="false">
      <c r="A384" s="26" t="n">
        <v>46084</v>
      </c>
      <c r="B384" s="27" t="n">
        <v>2026</v>
      </c>
      <c r="C384" s="27" t="n">
        <v>3</v>
      </c>
      <c r="D384" s="27" t="s">
        <v>82</v>
      </c>
      <c r="E384" s="27" t="s">
        <v>91</v>
      </c>
      <c r="F384" s="27" t="s">
        <v>107</v>
      </c>
      <c r="G384" s="27" t="s">
        <v>114</v>
      </c>
      <c r="H384" s="28" t="n">
        <v>2</v>
      </c>
      <c r="I384" s="29" t="n">
        <v>24500</v>
      </c>
      <c r="J384" s="29" t="n">
        <v>49000</v>
      </c>
      <c r="K384" s="29" t="n">
        <f aca="false">H384*I384</f>
        <v>49000</v>
      </c>
      <c r="L384" s="29" t="n">
        <f aca="false">IFERROR(INDEX(Cat_Productos!$B$2:$B$6,MATCH(G384,Cat_Productos!$A$2:$A$6,0)),"")</f>
        <v>19200</v>
      </c>
      <c r="M384" s="29" t="n">
        <f aca="false">IF(L384="","",H384*L384)</f>
        <v>38400</v>
      </c>
      <c r="N384" s="29" t="n">
        <f aca="false">IF(M384="","",J384-M384)</f>
        <v>10600</v>
      </c>
      <c r="O384" s="30" t="n">
        <f aca="false">IFERROR(N384/J384,0)</f>
        <v>0.216326530612245</v>
      </c>
      <c r="P384" s="27"/>
      <c r="Q384" s="27" t="s">
        <v>153</v>
      </c>
      <c r="R384" s="27" t="s">
        <v>154</v>
      </c>
      <c r="S384" s="27" t="n">
        <v>98</v>
      </c>
      <c r="T384" s="27"/>
    </row>
    <row r="385" customFormat="false" ht="15" hidden="false" customHeight="false" outlineLevel="0" collapsed="false">
      <c r="A385" s="26" t="n">
        <v>46084</v>
      </c>
      <c r="B385" s="27" t="n">
        <v>2026</v>
      </c>
      <c r="C385" s="27" t="n">
        <v>3</v>
      </c>
      <c r="D385" s="27" t="s">
        <v>82</v>
      </c>
      <c r="E385" s="27" t="s">
        <v>93</v>
      </c>
      <c r="F385" s="27" t="s">
        <v>108</v>
      </c>
      <c r="G385" s="27" t="s">
        <v>117</v>
      </c>
      <c r="H385" s="28" t="n">
        <v>6</v>
      </c>
      <c r="I385" s="29" t="n">
        <v>1450</v>
      </c>
      <c r="J385" s="29" t="n">
        <v>8700</v>
      </c>
      <c r="K385" s="29" t="n">
        <f aca="false">H385*I385</f>
        <v>8700</v>
      </c>
      <c r="L385" s="29" t="n">
        <f aca="false">IFERROR(INDEX(Cat_Productos!$B$2:$B$6,MATCH(G385,Cat_Productos!$A$2:$A$6,0)),"")</f>
        <v>780</v>
      </c>
      <c r="M385" s="29" t="n">
        <f aca="false">IF(L385="","",H385*L385)</f>
        <v>4680</v>
      </c>
      <c r="N385" s="29" t="n">
        <f aca="false">IF(M385="","",J385-M385)</f>
        <v>4020</v>
      </c>
      <c r="O385" s="30" t="n">
        <f aca="false">IFERROR(N385/J385,0)</f>
        <v>0.462068965517241</v>
      </c>
      <c r="P385" s="27"/>
      <c r="Q385" s="27" t="s">
        <v>153</v>
      </c>
      <c r="R385" s="27" t="s">
        <v>154</v>
      </c>
      <c r="S385" s="27" t="n">
        <v>79</v>
      </c>
      <c r="T385" s="27"/>
    </row>
    <row r="386" customFormat="false" ht="15" hidden="false" customHeight="false" outlineLevel="0" collapsed="false">
      <c r="A386" s="26" t="n">
        <v>46084</v>
      </c>
      <c r="B386" s="27" t="n">
        <v>2026</v>
      </c>
      <c r="C386" s="27" t="n">
        <v>3</v>
      </c>
      <c r="D386" s="27" t="s">
        <v>82</v>
      </c>
      <c r="E386" s="27" t="s">
        <v>92</v>
      </c>
      <c r="F386" s="27" t="s">
        <v>105</v>
      </c>
      <c r="G386" s="27" t="s">
        <v>117</v>
      </c>
      <c r="H386" s="28" t="n">
        <v>4</v>
      </c>
      <c r="I386" s="29" t="n">
        <v>1450</v>
      </c>
      <c r="J386" s="29" t="n">
        <v>5800</v>
      </c>
      <c r="K386" s="29" t="n">
        <f aca="false">H386*I386</f>
        <v>5800</v>
      </c>
      <c r="L386" s="29" t="n">
        <f aca="false">IFERROR(INDEX(Cat_Productos!$B$2:$B$6,MATCH(G386,Cat_Productos!$A$2:$A$6,0)),"")</f>
        <v>780</v>
      </c>
      <c r="M386" s="29" t="n">
        <f aca="false">IF(L386="","",H386*L386)</f>
        <v>3120</v>
      </c>
      <c r="N386" s="29" t="n">
        <f aca="false">IF(M386="","",J386-M386)</f>
        <v>2680</v>
      </c>
      <c r="O386" s="30" t="n">
        <f aca="false">IFERROR(N386/J386,0)</f>
        <v>0.462068965517241</v>
      </c>
      <c r="P386" s="27"/>
      <c r="Q386" s="27" t="s">
        <v>153</v>
      </c>
      <c r="R386" s="27" t="s">
        <v>154</v>
      </c>
      <c r="S386" s="27" t="n">
        <v>26</v>
      </c>
      <c r="T386" s="27"/>
    </row>
    <row r="387" customFormat="false" ht="15" hidden="false" customHeight="false" outlineLevel="0" collapsed="false">
      <c r="A387" s="26" t="n">
        <v>46084</v>
      </c>
      <c r="B387" s="27" t="n">
        <v>2026</v>
      </c>
      <c r="C387" s="27" t="n">
        <v>3</v>
      </c>
      <c r="D387" s="27" t="s">
        <v>82</v>
      </c>
      <c r="E387" s="27" t="s">
        <v>92</v>
      </c>
      <c r="F387" s="27" t="s">
        <v>105</v>
      </c>
      <c r="G387" s="27" t="s">
        <v>114</v>
      </c>
      <c r="H387" s="28" t="n">
        <v>2</v>
      </c>
      <c r="I387" s="29" t="n">
        <v>24500</v>
      </c>
      <c r="J387" s="29" t="n">
        <v>49000</v>
      </c>
      <c r="K387" s="29" t="n">
        <f aca="false">H387*I387</f>
        <v>49000</v>
      </c>
      <c r="L387" s="29" t="n">
        <f aca="false">IFERROR(INDEX(Cat_Productos!$B$2:$B$6,MATCH(G387,Cat_Productos!$A$2:$A$6,0)),"")</f>
        <v>19200</v>
      </c>
      <c r="M387" s="29" t="n">
        <f aca="false">IF(L387="","",H387*L387)</f>
        <v>38400</v>
      </c>
      <c r="N387" s="29" t="n">
        <f aca="false">IF(M387="","",J387-M387)</f>
        <v>10600</v>
      </c>
      <c r="O387" s="30" t="n">
        <f aca="false">IFERROR(N387/J387,0)</f>
        <v>0.216326530612245</v>
      </c>
      <c r="P387" s="27"/>
      <c r="Q387" s="27" t="s">
        <v>153</v>
      </c>
      <c r="R387" s="27" t="s">
        <v>154</v>
      </c>
      <c r="S387" s="27" t="n">
        <v>6</v>
      </c>
      <c r="T387" s="27"/>
    </row>
    <row r="388" customFormat="false" ht="15" hidden="false" customHeight="false" outlineLevel="0" collapsed="false">
      <c r="A388" s="26" t="n">
        <v>46084</v>
      </c>
      <c r="B388" s="27" t="n">
        <v>2026</v>
      </c>
      <c r="C388" s="27" t="n">
        <v>3</v>
      </c>
      <c r="D388" s="27" t="s">
        <v>82</v>
      </c>
      <c r="E388" s="27" t="s">
        <v>91</v>
      </c>
      <c r="F388" s="27" t="s">
        <v>103</v>
      </c>
      <c r="G388" s="27" t="s">
        <v>117</v>
      </c>
      <c r="H388" s="28" t="n">
        <v>4</v>
      </c>
      <c r="I388" s="29" t="n">
        <v>1450</v>
      </c>
      <c r="J388" s="29" t="n">
        <v>5800</v>
      </c>
      <c r="K388" s="29" t="n">
        <f aca="false">H388*I388</f>
        <v>5800</v>
      </c>
      <c r="L388" s="29" t="n">
        <f aca="false">IFERROR(INDEX(Cat_Productos!$B$2:$B$6,MATCH(G388,Cat_Productos!$A$2:$A$6,0)),"")</f>
        <v>780</v>
      </c>
      <c r="M388" s="29" t="n">
        <f aca="false">IF(L388="","",H388*L388)</f>
        <v>3120</v>
      </c>
      <c r="N388" s="29" t="n">
        <f aca="false">IF(M388="","",J388-M388)</f>
        <v>2680</v>
      </c>
      <c r="O388" s="30" t="n">
        <f aca="false">IFERROR(N388/J388,0)</f>
        <v>0.462068965517241</v>
      </c>
      <c r="P388" s="27"/>
      <c r="Q388" s="27" t="s">
        <v>153</v>
      </c>
      <c r="R388" s="27" t="s">
        <v>154</v>
      </c>
      <c r="S388" s="27" t="n">
        <v>156</v>
      </c>
      <c r="T388" s="27"/>
    </row>
    <row r="389" customFormat="false" ht="15" hidden="false" customHeight="false" outlineLevel="0" collapsed="false">
      <c r="A389" s="26" t="n">
        <v>46084</v>
      </c>
      <c r="B389" s="27" t="n">
        <v>2026</v>
      </c>
      <c r="C389" s="27" t="n">
        <v>3</v>
      </c>
      <c r="D389" s="27" t="s">
        <v>82</v>
      </c>
      <c r="E389" s="27" t="s">
        <v>93</v>
      </c>
      <c r="F389" s="27" t="s">
        <v>104</v>
      </c>
      <c r="G389" s="27" t="s">
        <v>116</v>
      </c>
      <c r="H389" s="28" t="n">
        <v>4</v>
      </c>
      <c r="I389" s="29" t="n">
        <v>620</v>
      </c>
      <c r="J389" s="29" t="n">
        <v>2480</v>
      </c>
      <c r="K389" s="29" t="n">
        <f aca="false">H389*I389</f>
        <v>2480</v>
      </c>
      <c r="L389" s="29" t="n">
        <f aca="false">IFERROR(INDEX(Cat_Productos!$B$2:$B$6,MATCH(G389,Cat_Productos!$A$2:$A$6,0)),"")</f>
        <v>290</v>
      </c>
      <c r="M389" s="29" t="n">
        <f aca="false">IF(L389="","",H389*L389)</f>
        <v>1160</v>
      </c>
      <c r="N389" s="29" t="n">
        <f aca="false">IF(M389="","",J389-M389)</f>
        <v>1320</v>
      </c>
      <c r="O389" s="30" t="n">
        <f aca="false">IFERROR(N389/J389,0)</f>
        <v>0.532258064516129</v>
      </c>
      <c r="P389" s="27"/>
      <c r="Q389" s="27" t="s">
        <v>153</v>
      </c>
      <c r="R389" s="27" t="s">
        <v>154</v>
      </c>
      <c r="S389" s="27" t="n">
        <v>220</v>
      </c>
      <c r="T389" s="27"/>
    </row>
    <row r="390" customFormat="false" ht="15" hidden="false" customHeight="false" outlineLevel="0" collapsed="false">
      <c r="A390" s="26" t="n">
        <v>46084</v>
      </c>
      <c r="B390" s="27" t="n">
        <v>2026</v>
      </c>
      <c r="C390" s="27" t="n">
        <v>3</v>
      </c>
      <c r="D390" s="27" t="s">
        <v>82</v>
      </c>
      <c r="E390" s="27" t="s">
        <v>92</v>
      </c>
      <c r="F390" s="27" t="s">
        <v>106</v>
      </c>
      <c r="G390" s="27" t="s">
        <v>117</v>
      </c>
      <c r="H390" s="28" t="n">
        <v>4</v>
      </c>
      <c r="I390" s="29" t="n">
        <v>1450</v>
      </c>
      <c r="J390" s="29" t="n">
        <v>5800</v>
      </c>
      <c r="K390" s="29" t="n">
        <f aca="false">H390*I390</f>
        <v>5800</v>
      </c>
      <c r="L390" s="29" t="n">
        <f aca="false">IFERROR(INDEX(Cat_Productos!$B$2:$B$6,MATCH(G390,Cat_Productos!$A$2:$A$6,0)),"")</f>
        <v>780</v>
      </c>
      <c r="M390" s="29" t="n">
        <f aca="false">IF(L390="","",H390*L390)</f>
        <v>3120</v>
      </c>
      <c r="N390" s="29" t="n">
        <f aca="false">IF(M390="","",J390-M390)</f>
        <v>2680</v>
      </c>
      <c r="O390" s="30" t="n">
        <f aca="false">IFERROR(N390/J390,0)</f>
        <v>0.462068965517241</v>
      </c>
      <c r="P390" s="27"/>
      <c r="Q390" s="27" t="s">
        <v>153</v>
      </c>
      <c r="R390" s="27" t="s">
        <v>154</v>
      </c>
      <c r="S390" s="27" t="n">
        <v>195</v>
      </c>
      <c r="T390" s="27"/>
    </row>
    <row r="391" customFormat="false" ht="15" hidden="false" customHeight="false" outlineLevel="0" collapsed="false">
      <c r="A391" s="26" t="n">
        <v>46086</v>
      </c>
      <c r="B391" s="27" t="n">
        <v>2026</v>
      </c>
      <c r="C391" s="27" t="n">
        <v>3</v>
      </c>
      <c r="D391" s="27" t="s">
        <v>82</v>
      </c>
      <c r="E391" s="27" t="s">
        <v>91</v>
      </c>
      <c r="F391" s="27" t="s">
        <v>107</v>
      </c>
      <c r="G391" s="27" t="s">
        <v>117</v>
      </c>
      <c r="H391" s="28" t="n">
        <v>2</v>
      </c>
      <c r="I391" s="29" t="n">
        <v>1450</v>
      </c>
      <c r="J391" s="29" t="n">
        <v>2900</v>
      </c>
      <c r="K391" s="29" t="n">
        <f aca="false">H391*I391</f>
        <v>2900</v>
      </c>
      <c r="L391" s="29" t="n">
        <f aca="false">IFERROR(INDEX(Cat_Productos!$B$2:$B$6,MATCH(G391,Cat_Productos!$A$2:$A$6,0)),"")</f>
        <v>780</v>
      </c>
      <c r="M391" s="29" t="n">
        <f aca="false">IF(L391="","",H391*L391)</f>
        <v>1560</v>
      </c>
      <c r="N391" s="29" t="n">
        <f aca="false">IF(M391="","",J391-M391)</f>
        <v>1340</v>
      </c>
      <c r="O391" s="30" t="n">
        <f aca="false">IFERROR(N391/J391,0)</f>
        <v>0.462068965517241</v>
      </c>
      <c r="P391" s="27"/>
      <c r="Q391" s="27" t="s">
        <v>153</v>
      </c>
      <c r="R391" s="27" t="s">
        <v>154</v>
      </c>
      <c r="S391" s="27" t="n">
        <v>111</v>
      </c>
      <c r="T391" s="27"/>
    </row>
    <row r="392" customFormat="false" ht="15" hidden="false" customHeight="false" outlineLevel="0" collapsed="false">
      <c r="A392" s="26" t="n">
        <v>46086</v>
      </c>
      <c r="B392" s="27" t="n">
        <v>2026</v>
      </c>
      <c r="C392" s="27" t="n">
        <v>3</v>
      </c>
      <c r="D392" s="27" t="s">
        <v>82</v>
      </c>
      <c r="E392" s="27" t="s">
        <v>91</v>
      </c>
      <c r="F392" s="27" t="s">
        <v>103</v>
      </c>
      <c r="G392" s="27" t="s">
        <v>116</v>
      </c>
      <c r="H392" s="28" t="n">
        <v>2</v>
      </c>
      <c r="I392" s="29" t="n">
        <v>620</v>
      </c>
      <c r="J392" s="29" t="n">
        <v>1240</v>
      </c>
      <c r="K392" s="29" t="n">
        <f aca="false">H392*I392</f>
        <v>1240</v>
      </c>
      <c r="L392" s="29" t="n">
        <f aca="false">IFERROR(INDEX(Cat_Productos!$B$2:$B$6,MATCH(G392,Cat_Productos!$A$2:$A$6,0)),"")</f>
        <v>290</v>
      </c>
      <c r="M392" s="29" t="n">
        <f aca="false">IF(L392="","",H392*L392)</f>
        <v>580</v>
      </c>
      <c r="N392" s="29" t="n">
        <f aca="false">IF(M392="","",J392-M392)</f>
        <v>660</v>
      </c>
      <c r="O392" s="30" t="n">
        <f aca="false">IFERROR(N392/J392,0)</f>
        <v>0.532258064516129</v>
      </c>
      <c r="P392" s="27"/>
      <c r="Q392" s="27" t="s">
        <v>153</v>
      </c>
      <c r="R392" s="27" t="s">
        <v>154</v>
      </c>
      <c r="S392" s="27" t="n">
        <v>175</v>
      </c>
      <c r="T392" s="27"/>
    </row>
    <row r="393" customFormat="false" ht="15" hidden="false" customHeight="false" outlineLevel="0" collapsed="false">
      <c r="A393" s="26" t="n">
        <v>46086</v>
      </c>
      <c r="B393" s="27" t="n">
        <v>2026</v>
      </c>
      <c r="C393" s="27" t="n">
        <v>3</v>
      </c>
      <c r="D393" s="27" t="s">
        <v>82</v>
      </c>
      <c r="E393" s="27" t="s">
        <v>93</v>
      </c>
      <c r="F393" s="27" t="s">
        <v>108</v>
      </c>
      <c r="G393" s="27" t="s">
        <v>117</v>
      </c>
      <c r="H393" s="28" t="n">
        <v>2</v>
      </c>
      <c r="I393" s="29" t="n">
        <v>1450</v>
      </c>
      <c r="J393" s="29" t="n">
        <v>2900</v>
      </c>
      <c r="K393" s="29" t="n">
        <f aca="false">H393*I393</f>
        <v>2900</v>
      </c>
      <c r="L393" s="29" t="n">
        <f aca="false">IFERROR(INDEX(Cat_Productos!$B$2:$B$6,MATCH(G393,Cat_Productos!$A$2:$A$6,0)),"")</f>
        <v>780</v>
      </c>
      <c r="M393" s="29" t="n">
        <f aca="false">IF(L393="","",H393*L393)</f>
        <v>1560</v>
      </c>
      <c r="N393" s="29" t="n">
        <f aca="false">IF(M393="","",J393-M393)</f>
        <v>1340</v>
      </c>
      <c r="O393" s="30" t="n">
        <f aca="false">IFERROR(N393/J393,0)</f>
        <v>0.462068965517241</v>
      </c>
      <c r="P393" s="27"/>
      <c r="Q393" s="27" t="s">
        <v>153</v>
      </c>
      <c r="R393" s="27" t="s">
        <v>154</v>
      </c>
      <c r="S393" s="27" t="n">
        <v>64</v>
      </c>
      <c r="T393" s="27"/>
    </row>
    <row r="394" customFormat="false" ht="15" hidden="false" customHeight="false" outlineLevel="0" collapsed="false">
      <c r="A394" s="26" t="n">
        <v>46086</v>
      </c>
      <c r="B394" s="27" t="n">
        <v>2026</v>
      </c>
      <c r="C394" s="27" t="n">
        <v>3</v>
      </c>
      <c r="D394" s="27" t="s">
        <v>82</v>
      </c>
      <c r="E394" s="27" t="s">
        <v>93</v>
      </c>
      <c r="F394" s="27" t="s">
        <v>108</v>
      </c>
      <c r="G394" s="27" t="s">
        <v>117</v>
      </c>
      <c r="H394" s="28" t="n">
        <v>2</v>
      </c>
      <c r="I394" s="29" t="n">
        <v>1450</v>
      </c>
      <c r="J394" s="29" t="n">
        <v>2900</v>
      </c>
      <c r="K394" s="29" t="n">
        <f aca="false">H394*I394</f>
        <v>2900</v>
      </c>
      <c r="L394" s="29" t="n">
        <f aca="false">IFERROR(INDEX(Cat_Productos!$B$2:$B$6,MATCH(G394,Cat_Productos!$A$2:$A$6,0)),"")</f>
        <v>780</v>
      </c>
      <c r="M394" s="29" t="n">
        <f aca="false">IF(L394="","",H394*L394)</f>
        <v>1560</v>
      </c>
      <c r="N394" s="29" t="n">
        <f aca="false">IF(M394="","",J394-M394)</f>
        <v>1340</v>
      </c>
      <c r="O394" s="30" t="n">
        <f aca="false">IFERROR(N394/J394,0)</f>
        <v>0.462068965517241</v>
      </c>
      <c r="P394" s="27"/>
      <c r="Q394" s="27" t="s">
        <v>153</v>
      </c>
      <c r="R394" s="27" t="s">
        <v>154</v>
      </c>
      <c r="S394" s="27" t="n">
        <v>72</v>
      </c>
      <c r="T394" s="27"/>
    </row>
    <row r="395" customFormat="false" ht="15" hidden="false" customHeight="false" outlineLevel="0" collapsed="false">
      <c r="A395" s="26" t="n">
        <v>46086</v>
      </c>
      <c r="B395" s="27" t="n">
        <v>2026</v>
      </c>
      <c r="C395" s="27" t="n">
        <v>3</v>
      </c>
      <c r="D395" s="27" t="s">
        <v>82</v>
      </c>
      <c r="E395" s="27" t="s">
        <v>91</v>
      </c>
      <c r="F395" s="27" t="s">
        <v>103</v>
      </c>
      <c r="G395" s="27" t="s">
        <v>116</v>
      </c>
      <c r="H395" s="28" t="n">
        <v>2</v>
      </c>
      <c r="I395" s="29" t="n">
        <v>620</v>
      </c>
      <c r="J395" s="29" t="n">
        <v>1240</v>
      </c>
      <c r="K395" s="29" t="n">
        <f aca="false">H395*I395</f>
        <v>1240</v>
      </c>
      <c r="L395" s="29" t="n">
        <f aca="false">IFERROR(INDEX(Cat_Productos!$B$2:$B$6,MATCH(G395,Cat_Productos!$A$2:$A$6,0)),"")</f>
        <v>290</v>
      </c>
      <c r="M395" s="29" t="n">
        <f aca="false">IF(L395="","",H395*L395)</f>
        <v>580</v>
      </c>
      <c r="N395" s="29" t="n">
        <f aca="false">IF(M395="","",J395-M395)</f>
        <v>660</v>
      </c>
      <c r="O395" s="30" t="n">
        <f aca="false">IFERROR(N395/J395,0)</f>
        <v>0.532258064516129</v>
      </c>
      <c r="P395" s="27"/>
      <c r="Q395" s="27" t="s">
        <v>153</v>
      </c>
      <c r="R395" s="27" t="s">
        <v>154</v>
      </c>
      <c r="S395" s="27" t="n">
        <v>173</v>
      </c>
      <c r="T395" s="27"/>
    </row>
    <row r="396" customFormat="false" ht="15" hidden="false" customHeight="false" outlineLevel="0" collapsed="false">
      <c r="A396" s="26" t="n">
        <v>46086</v>
      </c>
      <c r="B396" s="27" t="n">
        <v>2026</v>
      </c>
      <c r="C396" s="27" t="n">
        <v>3</v>
      </c>
      <c r="D396" s="27" t="s">
        <v>82</v>
      </c>
      <c r="E396" s="27" t="s">
        <v>92</v>
      </c>
      <c r="F396" s="27" t="s">
        <v>106</v>
      </c>
      <c r="G396" s="27" t="s">
        <v>116</v>
      </c>
      <c r="H396" s="28" t="n">
        <v>2</v>
      </c>
      <c r="I396" s="29" t="n">
        <v>620</v>
      </c>
      <c r="J396" s="29" t="n">
        <v>1240</v>
      </c>
      <c r="K396" s="29" t="n">
        <f aca="false">H396*I396</f>
        <v>1240</v>
      </c>
      <c r="L396" s="29" t="n">
        <f aca="false">IFERROR(INDEX(Cat_Productos!$B$2:$B$6,MATCH(G396,Cat_Productos!$A$2:$A$6,0)),"")</f>
        <v>290</v>
      </c>
      <c r="M396" s="29" t="n">
        <f aca="false">IF(L396="","",H396*L396)</f>
        <v>580</v>
      </c>
      <c r="N396" s="29" t="n">
        <f aca="false">IF(M396="","",J396-M396)</f>
        <v>660</v>
      </c>
      <c r="O396" s="30" t="n">
        <f aca="false">IFERROR(N396/J396,0)</f>
        <v>0.532258064516129</v>
      </c>
      <c r="P396" s="27"/>
      <c r="Q396" s="27" t="s">
        <v>153</v>
      </c>
      <c r="R396" s="27" t="s">
        <v>154</v>
      </c>
      <c r="S396" s="27" t="n">
        <v>202</v>
      </c>
      <c r="T396" s="27"/>
    </row>
    <row r="397" customFormat="false" ht="15" hidden="false" customHeight="false" outlineLevel="0" collapsed="false">
      <c r="A397" s="26" t="n">
        <v>46086</v>
      </c>
      <c r="B397" s="27" t="n">
        <v>2026</v>
      </c>
      <c r="C397" s="27" t="n">
        <v>3</v>
      </c>
      <c r="D397" s="27" t="s">
        <v>82</v>
      </c>
      <c r="E397" s="27" t="s">
        <v>93</v>
      </c>
      <c r="F397" s="27" t="s">
        <v>108</v>
      </c>
      <c r="G397" s="27" t="s">
        <v>117</v>
      </c>
      <c r="H397" s="28" t="n">
        <v>4</v>
      </c>
      <c r="I397" s="29" t="n">
        <v>1450</v>
      </c>
      <c r="J397" s="29" t="n">
        <v>5800</v>
      </c>
      <c r="K397" s="29" t="n">
        <f aca="false">H397*I397</f>
        <v>5800</v>
      </c>
      <c r="L397" s="29" t="n">
        <f aca="false">IFERROR(INDEX(Cat_Productos!$B$2:$B$6,MATCH(G397,Cat_Productos!$A$2:$A$6,0)),"")</f>
        <v>780</v>
      </c>
      <c r="M397" s="29" t="n">
        <f aca="false">IF(L397="","",H397*L397)</f>
        <v>3120</v>
      </c>
      <c r="N397" s="29" t="n">
        <f aca="false">IF(M397="","",J397-M397)</f>
        <v>2680</v>
      </c>
      <c r="O397" s="30" t="n">
        <f aca="false">IFERROR(N397/J397,0)</f>
        <v>0.462068965517241</v>
      </c>
      <c r="P397" s="27"/>
      <c r="Q397" s="27" t="s">
        <v>153</v>
      </c>
      <c r="R397" s="27" t="s">
        <v>154</v>
      </c>
      <c r="S397" s="27" t="n">
        <v>68</v>
      </c>
      <c r="T397" s="27"/>
    </row>
    <row r="398" customFormat="false" ht="15" hidden="false" customHeight="false" outlineLevel="0" collapsed="false">
      <c r="A398" s="26" t="n">
        <v>46086</v>
      </c>
      <c r="B398" s="27" t="n">
        <v>2026</v>
      </c>
      <c r="C398" s="27" t="n">
        <v>3</v>
      </c>
      <c r="D398" s="27" t="s">
        <v>82</v>
      </c>
      <c r="E398" s="27" t="s">
        <v>93</v>
      </c>
      <c r="F398" s="27" t="s">
        <v>108</v>
      </c>
      <c r="G398" s="27" t="s">
        <v>116</v>
      </c>
      <c r="H398" s="28" t="n">
        <v>4</v>
      </c>
      <c r="I398" s="29" t="n">
        <v>620</v>
      </c>
      <c r="J398" s="29" t="n">
        <v>2480</v>
      </c>
      <c r="K398" s="29" t="n">
        <f aca="false">H398*I398</f>
        <v>2480</v>
      </c>
      <c r="L398" s="29" t="n">
        <f aca="false">IFERROR(INDEX(Cat_Productos!$B$2:$B$6,MATCH(G398,Cat_Productos!$A$2:$A$6,0)),"")</f>
        <v>290</v>
      </c>
      <c r="M398" s="29" t="n">
        <f aca="false">IF(L398="","",H398*L398)</f>
        <v>1160</v>
      </c>
      <c r="N398" s="29" t="n">
        <f aca="false">IF(M398="","",J398-M398)</f>
        <v>1320</v>
      </c>
      <c r="O398" s="30" t="n">
        <f aca="false">IFERROR(N398/J398,0)</f>
        <v>0.532258064516129</v>
      </c>
      <c r="P398" s="27"/>
      <c r="Q398" s="27" t="s">
        <v>153</v>
      </c>
      <c r="R398" s="27" t="s">
        <v>154</v>
      </c>
      <c r="S398" s="27" t="n">
        <v>86</v>
      </c>
      <c r="T398" s="27"/>
    </row>
    <row r="399" customFormat="false" ht="15" hidden="false" customHeight="false" outlineLevel="0" collapsed="false">
      <c r="A399" s="26" t="n">
        <v>46086</v>
      </c>
      <c r="B399" s="27" t="n">
        <v>2026</v>
      </c>
      <c r="C399" s="27" t="n">
        <v>3</v>
      </c>
      <c r="D399" s="27" t="s">
        <v>82</v>
      </c>
      <c r="E399" s="27" t="s">
        <v>93</v>
      </c>
      <c r="F399" s="27" t="s">
        <v>108</v>
      </c>
      <c r="G399" s="27" t="s">
        <v>116</v>
      </c>
      <c r="H399" s="28" t="n">
        <v>6</v>
      </c>
      <c r="I399" s="29" t="n">
        <v>620</v>
      </c>
      <c r="J399" s="29" t="n">
        <v>3720</v>
      </c>
      <c r="K399" s="29" t="n">
        <f aca="false">H399*I399</f>
        <v>3720</v>
      </c>
      <c r="L399" s="29" t="n">
        <f aca="false">IFERROR(INDEX(Cat_Productos!$B$2:$B$6,MATCH(G399,Cat_Productos!$A$2:$A$6,0)),"")</f>
        <v>290</v>
      </c>
      <c r="M399" s="29" t="n">
        <f aca="false">IF(L399="","",H399*L399)</f>
        <v>1740</v>
      </c>
      <c r="N399" s="29" t="n">
        <f aca="false">IF(M399="","",J399-M399)</f>
        <v>1980</v>
      </c>
      <c r="O399" s="30" t="n">
        <f aca="false">IFERROR(N399/J399,0)</f>
        <v>0.532258064516129</v>
      </c>
      <c r="P399" s="27"/>
      <c r="Q399" s="27" t="s">
        <v>153</v>
      </c>
      <c r="R399" s="27" t="s">
        <v>154</v>
      </c>
      <c r="S399" s="27" t="n">
        <v>92</v>
      </c>
      <c r="T399" s="27"/>
    </row>
    <row r="400" customFormat="false" ht="15" hidden="false" customHeight="false" outlineLevel="0" collapsed="false">
      <c r="A400" s="26" t="n">
        <v>46086</v>
      </c>
      <c r="B400" s="27" t="n">
        <v>2026</v>
      </c>
      <c r="C400" s="27" t="n">
        <v>3</v>
      </c>
      <c r="D400" s="27" t="s">
        <v>82</v>
      </c>
      <c r="E400" s="27" t="s">
        <v>91</v>
      </c>
      <c r="F400" s="27" t="s">
        <v>103</v>
      </c>
      <c r="G400" s="27" t="s">
        <v>116</v>
      </c>
      <c r="H400" s="28" t="n">
        <v>4</v>
      </c>
      <c r="I400" s="29" t="n">
        <v>620</v>
      </c>
      <c r="J400" s="29" t="n">
        <v>2480</v>
      </c>
      <c r="K400" s="29" t="n">
        <f aca="false">H400*I400</f>
        <v>2480</v>
      </c>
      <c r="L400" s="29" t="n">
        <f aca="false">IFERROR(INDEX(Cat_Productos!$B$2:$B$6,MATCH(G400,Cat_Productos!$A$2:$A$6,0)),"")</f>
        <v>290</v>
      </c>
      <c r="M400" s="29" t="n">
        <f aca="false">IF(L400="","",H400*L400)</f>
        <v>1160</v>
      </c>
      <c r="N400" s="29" t="n">
        <f aca="false">IF(M400="","",J400-M400)</f>
        <v>1320</v>
      </c>
      <c r="O400" s="30" t="n">
        <f aca="false">IFERROR(N400/J400,0)</f>
        <v>0.532258064516129</v>
      </c>
      <c r="P400" s="27"/>
      <c r="Q400" s="27" t="s">
        <v>153</v>
      </c>
      <c r="R400" s="27" t="s">
        <v>154</v>
      </c>
      <c r="S400" s="27" t="n">
        <v>187</v>
      </c>
      <c r="T400" s="27"/>
    </row>
    <row r="401" customFormat="false" ht="15" hidden="false" customHeight="false" outlineLevel="0" collapsed="false">
      <c r="A401" s="26" t="n">
        <v>46086</v>
      </c>
      <c r="B401" s="27" t="n">
        <v>2026</v>
      </c>
      <c r="C401" s="27" t="n">
        <v>3</v>
      </c>
      <c r="D401" s="27" t="s">
        <v>82</v>
      </c>
      <c r="E401" s="27" t="s">
        <v>92</v>
      </c>
      <c r="F401" s="27" t="s">
        <v>105</v>
      </c>
      <c r="G401" s="27" t="s">
        <v>116</v>
      </c>
      <c r="H401" s="28" t="n">
        <v>6</v>
      </c>
      <c r="I401" s="29" t="n">
        <v>620</v>
      </c>
      <c r="J401" s="29" t="n">
        <v>3720</v>
      </c>
      <c r="K401" s="29" t="n">
        <f aca="false">H401*I401</f>
        <v>3720</v>
      </c>
      <c r="L401" s="29" t="n">
        <f aca="false">IFERROR(INDEX(Cat_Productos!$B$2:$B$6,MATCH(G401,Cat_Productos!$A$2:$A$6,0)),"")</f>
        <v>290</v>
      </c>
      <c r="M401" s="29" t="n">
        <f aca="false">IF(L401="","",H401*L401)</f>
        <v>1740</v>
      </c>
      <c r="N401" s="29" t="n">
        <f aca="false">IF(M401="","",J401-M401)</f>
        <v>1980</v>
      </c>
      <c r="O401" s="30" t="n">
        <f aca="false">IFERROR(N401/J401,0)</f>
        <v>0.532258064516129</v>
      </c>
      <c r="P401" s="27"/>
      <c r="Q401" s="27" t="s">
        <v>153</v>
      </c>
      <c r="R401" s="27" t="s">
        <v>154</v>
      </c>
      <c r="S401" s="27" t="n">
        <v>47</v>
      </c>
      <c r="T401" s="27"/>
    </row>
    <row r="402" customFormat="false" ht="15" hidden="false" customHeight="false" outlineLevel="0" collapsed="false">
      <c r="A402" s="26" t="n">
        <v>46086</v>
      </c>
      <c r="B402" s="27" t="n">
        <v>2026</v>
      </c>
      <c r="C402" s="27" t="n">
        <v>3</v>
      </c>
      <c r="D402" s="27" t="s">
        <v>82</v>
      </c>
      <c r="E402" s="27" t="s">
        <v>92</v>
      </c>
      <c r="F402" s="27" t="s">
        <v>105</v>
      </c>
      <c r="G402" s="27" t="s">
        <v>116</v>
      </c>
      <c r="H402" s="28" t="n">
        <v>2</v>
      </c>
      <c r="I402" s="29" t="n">
        <v>620</v>
      </c>
      <c r="J402" s="29" t="n">
        <v>1240</v>
      </c>
      <c r="K402" s="29" t="n">
        <f aca="false">H402*I402</f>
        <v>1240</v>
      </c>
      <c r="L402" s="29" t="n">
        <f aca="false">IFERROR(INDEX(Cat_Productos!$B$2:$B$6,MATCH(G402,Cat_Productos!$A$2:$A$6,0)),"")</f>
        <v>290</v>
      </c>
      <c r="M402" s="29" t="n">
        <f aca="false">IF(L402="","",H402*L402)</f>
        <v>580</v>
      </c>
      <c r="N402" s="29" t="n">
        <f aca="false">IF(M402="","",J402-M402)</f>
        <v>660</v>
      </c>
      <c r="O402" s="30" t="n">
        <f aca="false">IFERROR(N402/J402,0)</f>
        <v>0.532258064516129</v>
      </c>
      <c r="P402" s="27"/>
      <c r="Q402" s="27" t="s">
        <v>153</v>
      </c>
      <c r="R402" s="27" t="s">
        <v>154</v>
      </c>
      <c r="S402" s="27" t="n">
        <v>53</v>
      </c>
      <c r="T402" s="27"/>
    </row>
    <row r="403" customFormat="false" ht="15" hidden="false" customHeight="false" outlineLevel="0" collapsed="false">
      <c r="A403" s="26" t="n">
        <v>46086</v>
      </c>
      <c r="B403" s="27" t="n">
        <v>2026</v>
      </c>
      <c r="C403" s="27" t="n">
        <v>3</v>
      </c>
      <c r="D403" s="27" t="s">
        <v>82</v>
      </c>
      <c r="E403" s="27" t="s">
        <v>93</v>
      </c>
      <c r="F403" s="27" t="s">
        <v>108</v>
      </c>
      <c r="G403" s="27" t="s">
        <v>116</v>
      </c>
      <c r="H403" s="28" t="n">
        <v>2</v>
      </c>
      <c r="I403" s="29" t="n">
        <v>620</v>
      </c>
      <c r="J403" s="29" t="n">
        <v>1240</v>
      </c>
      <c r="K403" s="29" t="n">
        <f aca="false">H403*I403</f>
        <v>1240</v>
      </c>
      <c r="L403" s="29" t="n">
        <f aca="false">IFERROR(INDEX(Cat_Productos!$B$2:$B$6,MATCH(G403,Cat_Productos!$A$2:$A$6,0)),"")</f>
        <v>290</v>
      </c>
      <c r="M403" s="29" t="n">
        <f aca="false">IF(L403="","",H403*L403)</f>
        <v>580</v>
      </c>
      <c r="N403" s="29" t="n">
        <f aca="false">IF(M403="","",J403-M403)</f>
        <v>660</v>
      </c>
      <c r="O403" s="30" t="n">
        <f aca="false">IFERROR(N403/J403,0)</f>
        <v>0.532258064516129</v>
      </c>
      <c r="P403" s="27"/>
      <c r="Q403" s="27" t="s">
        <v>153</v>
      </c>
      <c r="R403" s="27" t="s">
        <v>154</v>
      </c>
      <c r="S403" s="27" t="n">
        <v>94</v>
      </c>
      <c r="T403" s="27"/>
    </row>
    <row r="404" customFormat="false" ht="15" hidden="false" customHeight="false" outlineLevel="0" collapsed="false">
      <c r="A404" s="26" t="n">
        <v>46086</v>
      </c>
      <c r="B404" s="27" t="n">
        <v>2026</v>
      </c>
      <c r="C404" s="27" t="n">
        <v>3</v>
      </c>
      <c r="D404" s="27" t="s">
        <v>82</v>
      </c>
      <c r="E404" s="27" t="s">
        <v>93</v>
      </c>
      <c r="F404" s="27" t="s">
        <v>104</v>
      </c>
      <c r="G404" s="27" t="s">
        <v>116</v>
      </c>
      <c r="H404" s="28" t="n">
        <v>4</v>
      </c>
      <c r="I404" s="29" t="n">
        <v>620</v>
      </c>
      <c r="J404" s="29" t="n">
        <v>2480</v>
      </c>
      <c r="K404" s="29" t="n">
        <f aca="false">H404*I404</f>
        <v>2480</v>
      </c>
      <c r="L404" s="29" t="n">
        <f aca="false">IFERROR(INDEX(Cat_Productos!$B$2:$B$6,MATCH(G404,Cat_Productos!$A$2:$A$6,0)),"")</f>
        <v>290</v>
      </c>
      <c r="M404" s="29" t="n">
        <f aca="false">IF(L404="","",H404*L404)</f>
        <v>1160</v>
      </c>
      <c r="N404" s="29" t="n">
        <f aca="false">IF(M404="","",J404-M404)</f>
        <v>1320</v>
      </c>
      <c r="O404" s="30" t="n">
        <f aca="false">IFERROR(N404/J404,0)</f>
        <v>0.532258064516129</v>
      </c>
      <c r="P404" s="27"/>
      <c r="Q404" s="27" t="s">
        <v>153</v>
      </c>
      <c r="R404" s="27" t="s">
        <v>154</v>
      </c>
      <c r="S404" s="27" t="n">
        <v>219</v>
      </c>
      <c r="T404" s="27"/>
    </row>
    <row r="405" customFormat="false" ht="15" hidden="false" customHeight="false" outlineLevel="0" collapsed="false">
      <c r="A405" s="26" t="n">
        <v>46086</v>
      </c>
      <c r="B405" s="27" t="n">
        <v>2026</v>
      </c>
      <c r="C405" s="27" t="n">
        <v>3</v>
      </c>
      <c r="D405" s="27" t="s">
        <v>82</v>
      </c>
      <c r="E405" s="27" t="s">
        <v>92</v>
      </c>
      <c r="F405" s="27" t="s">
        <v>105</v>
      </c>
      <c r="G405" s="27" t="s">
        <v>116</v>
      </c>
      <c r="H405" s="28" t="n">
        <v>4</v>
      </c>
      <c r="I405" s="29" t="n">
        <v>620</v>
      </c>
      <c r="J405" s="29" t="n">
        <v>2480</v>
      </c>
      <c r="K405" s="29" t="n">
        <f aca="false">H405*I405</f>
        <v>2480</v>
      </c>
      <c r="L405" s="29" t="n">
        <f aca="false">IFERROR(INDEX(Cat_Productos!$B$2:$B$6,MATCH(G405,Cat_Productos!$A$2:$A$6,0)),"")</f>
        <v>290</v>
      </c>
      <c r="M405" s="29" t="n">
        <f aca="false">IF(L405="","",H405*L405)</f>
        <v>1160</v>
      </c>
      <c r="N405" s="29" t="n">
        <f aca="false">IF(M405="","",J405-M405)</f>
        <v>1320</v>
      </c>
      <c r="O405" s="30" t="n">
        <f aca="false">IFERROR(N405/J405,0)</f>
        <v>0.532258064516129</v>
      </c>
      <c r="P405" s="27"/>
      <c r="Q405" s="27" t="s">
        <v>153</v>
      </c>
      <c r="R405" s="27" t="s">
        <v>154</v>
      </c>
      <c r="S405" s="27" t="n">
        <v>33</v>
      </c>
      <c r="T405" s="27"/>
    </row>
    <row r="406" customFormat="false" ht="15" hidden="false" customHeight="false" outlineLevel="0" collapsed="false">
      <c r="A406" s="26" t="n">
        <v>46086</v>
      </c>
      <c r="B406" s="27" t="n">
        <v>2026</v>
      </c>
      <c r="C406" s="27" t="n">
        <v>3</v>
      </c>
      <c r="D406" s="27" t="s">
        <v>82</v>
      </c>
      <c r="E406" s="27" t="s">
        <v>92</v>
      </c>
      <c r="F406" s="27" t="s">
        <v>105</v>
      </c>
      <c r="G406" s="27" t="s">
        <v>117</v>
      </c>
      <c r="H406" s="28" t="n">
        <v>4</v>
      </c>
      <c r="I406" s="29" t="n">
        <v>1450</v>
      </c>
      <c r="J406" s="29" t="n">
        <v>5800</v>
      </c>
      <c r="K406" s="29" t="n">
        <f aca="false">H406*I406</f>
        <v>5800</v>
      </c>
      <c r="L406" s="29" t="n">
        <f aca="false">IFERROR(INDEX(Cat_Productos!$B$2:$B$6,MATCH(G406,Cat_Productos!$A$2:$A$6,0)),"")</f>
        <v>780</v>
      </c>
      <c r="M406" s="29" t="n">
        <f aca="false">IF(L406="","",H406*L406)</f>
        <v>3120</v>
      </c>
      <c r="N406" s="29" t="n">
        <f aca="false">IF(M406="","",J406-M406)</f>
        <v>2680</v>
      </c>
      <c r="O406" s="30" t="n">
        <f aca="false">IFERROR(N406/J406,0)</f>
        <v>0.462068965517241</v>
      </c>
      <c r="P406" s="27"/>
      <c r="Q406" s="27" t="s">
        <v>153</v>
      </c>
      <c r="R406" s="27" t="s">
        <v>154</v>
      </c>
      <c r="S406" s="27" t="n">
        <v>25</v>
      </c>
      <c r="T406" s="27"/>
    </row>
    <row r="407" customFormat="false" ht="15" hidden="false" customHeight="false" outlineLevel="0" collapsed="false">
      <c r="A407" s="26" t="n">
        <v>46088</v>
      </c>
      <c r="B407" s="27" t="n">
        <v>2026</v>
      </c>
      <c r="C407" s="27" t="n">
        <v>3</v>
      </c>
      <c r="D407" s="27" t="s">
        <v>82</v>
      </c>
      <c r="E407" s="27" t="s">
        <v>91</v>
      </c>
      <c r="F407" s="27" t="s">
        <v>103</v>
      </c>
      <c r="G407" s="27" t="s">
        <v>117</v>
      </c>
      <c r="H407" s="28" t="n">
        <v>4</v>
      </c>
      <c r="I407" s="29" t="n">
        <v>1450</v>
      </c>
      <c r="J407" s="29" t="n">
        <v>5800</v>
      </c>
      <c r="K407" s="29" t="n">
        <f aca="false">H407*I407</f>
        <v>5800</v>
      </c>
      <c r="L407" s="29" t="n">
        <f aca="false">IFERROR(INDEX(Cat_Productos!$B$2:$B$6,MATCH(G407,Cat_Productos!$A$2:$A$6,0)),"")</f>
        <v>780</v>
      </c>
      <c r="M407" s="29" t="n">
        <f aca="false">IF(L407="","",H407*L407)</f>
        <v>3120</v>
      </c>
      <c r="N407" s="29" t="n">
        <f aca="false">IF(M407="","",J407-M407)</f>
        <v>2680</v>
      </c>
      <c r="O407" s="30" t="n">
        <f aca="false">IFERROR(N407/J407,0)</f>
        <v>0.462068965517241</v>
      </c>
      <c r="P407" s="27"/>
      <c r="Q407" s="27" t="s">
        <v>153</v>
      </c>
      <c r="R407" s="27" t="s">
        <v>154</v>
      </c>
      <c r="S407" s="27" t="n">
        <v>160</v>
      </c>
      <c r="T407" s="27"/>
    </row>
    <row r="408" customFormat="false" ht="15" hidden="false" customHeight="false" outlineLevel="0" collapsed="false">
      <c r="A408" s="26" t="n">
        <v>46088</v>
      </c>
      <c r="B408" s="27" t="n">
        <v>2026</v>
      </c>
      <c r="C408" s="27" t="n">
        <v>3</v>
      </c>
      <c r="D408" s="27" t="s">
        <v>82</v>
      </c>
      <c r="E408" s="27" t="s">
        <v>93</v>
      </c>
      <c r="F408" s="27" t="s">
        <v>108</v>
      </c>
      <c r="G408" s="27" t="s">
        <v>117</v>
      </c>
      <c r="H408" s="28" t="n">
        <v>6</v>
      </c>
      <c r="I408" s="29" t="n">
        <v>1450</v>
      </c>
      <c r="J408" s="29" t="n">
        <v>8700</v>
      </c>
      <c r="K408" s="29" t="n">
        <f aca="false">H408*I408</f>
        <v>8700</v>
      </c>
      <c r="L408" s="29" t="n">
        <f aca="false">IFERROR(INDEX(Cat_Productos!$B$2:$B$6,MATCH(G408,Cat_Productos!$A$2:$A$6,0)),"")</f>
        <v>780</v>
      </c>
      <c r="M408" s="29" t="n">
        <f aca="false">IF(L408="","",H408*L408)</f>
        <v>4680</v>
      </c>
      <c r="N408" s="29" t="n">
        <f aca="false">IF(M408="","",J408-M408)</f>
        <v>4020</v>
      </c>
      <c r="O408" s="30" t="n">
        <f aca="false">IFERROR(N408/J408,0)</f>
        <v>0.462068965517241</v>
      </c>
      <c r="P408" s="27"/>
      <c r="Q408" s="27" t="s">
        <v>153</v>
      </c>
      <c r="R408" s="27" t="s">
        <v>154</v>
      </c>
      <c r="S408" s="27" t="n">
        <v>67</v>
      </c>
      <c r="T408" s="27"/>
    </row>
    <row r="409" customFormat="false" ht="15" hidden="false" customHeight="false" outlineLevel="0" collapsed="false">
      <c r="A409" s="26" t="n">
        <v>46088</v>
      </c>
      <c r="B409" s="27" t="n">
        <v>2026</v>
      </c>
      <c r="C409" s="27" t="n">
        <v>3</v>
      </c>
      <c r="D409" s="27" t="s">
        <v>82</v>
      </c>
      <c r="E409" s="27" t="s">
        <v>91</v>
      </c>
      <c r="F409" s="27" t="s">
        <v>103</v>
      </c>
      <c r="G409" s="27" t="s">
        <v>114</v>
      </c>
      <c r="H409" s="28" t="n">
        <v>1</v>
      </c>
      <c r="I409" s="29" t="n">
        <v>24500</v>
      </c>
      <c r="J409" s="29" t="n">
        <v>24500</v>
      </c>
      <c r="K409" s="29" t="n">
        <f aca="false">H409*I409</f>
        <v>24500</v>
      </c>
      <c r="L409" s="29" t="n">
        <f aca="false">IFERROR(INDEX(Cat_Productos!$B$2:$B$6,MATCH(G409,Cat_Productos!$A$2:$A$6,0)),"")</f>
        <v>19200</v>
      </c>
      <c r="M409" s="29" t="n">
        <f aca="false">IF(L409="","",H409*L409)</f>
        <v>19200</v>
      </c>
      <c r="N409" s="29" t="n">
        <f aca="false">IF(M409="","",J409-M409)</f>
        <v>5300</v>
      </c>
      <c r="O409" s="30" t="n">
        <f aca="false">IFERROR(N409/J409,0)</f>
        <v>0.216326530612245</v>
      </c>
      <c r="P409" s="27"/>
      <c r="Q409" s="27" t="s">
        <v>153</v>
      </c>
      <c r="R409" s="27" t="s">
        <v>154</v>
      </c>
      <c r="S409" s="27" t="n">
        <v>140</v>
      </c>
      <c r="T409" s="27"/>
    </row>
    <row r="410" customFormat="false" ht="15" hidden="false" customHeight="false" outlineLevel="0" collapsed="false">
      <c r="A410" s="26" t="n">
        <v>46088</v>
      </c>
      <c r="B410" s="27" t="n">
        <v>2026</v>
      </c>
      <c r="C410" s="27" t="n">
        <v>3</v>
      </c>
      <c r="D410" s="27" t="s">
        <v>82</v>
      </c>
      <c r="E410" s="27" t="s">
        <v>91</v>
      </c>
      <c r="F410" s="27" t="s">
        <v>103</v>
      </c>
      <c r="G410" s="27" t="s">
        <v>116</v>
      </c>
      <c r="H410" s="28" t="n">
        <v>2</v>
      </c>
      <c r="I410" s="29" t="n">
        <v>620</v>
      </c>
      <c r="J410" s="29" t="n">
        <v>1240</v>
      </c>
      <c r="K410" s="29" t="n">
        <f aca="false">H410*I410</f>
        <v>1240</v>
      </c>
      <c r="L410" s="29" t="n">
        <f aca="false">IFERROR(INDEX(Cat_Productos!$B$2:$B$6,MATCH(G410,Cat_Productos!$A$2:$A$6,0)),"")</f>
        <v>290</v>
      </c>
      <c r="M410" s="29" t="n">
        <f aca="false">IF(L410="","",H410*L410)</f>
        <v>580</v>
      </c>
      <c r="N410" s="29" t="n">
        <f aca="false">IF(M410="","",J410-M410)</f>
        <v>660</v>
      </c>
      <c r="O410" s="30" t="n">
        <f aca="false">IFERROR(N410/J410,0)</f>
        <v>0.532258064516129</v>
      </c>
      <c r="P410" s="27"/>
      <c r="Q410" s="27" t="s">
        <v>153</v>
      </c>
      <c r="R410" s="27" t="s">
        <v>154</v>
      </c>
      <c r="S410" s="27" t="n">
        <v>166</v>
      </c>
      <c r="T410" s="27"/>
    </row>
    <row r="411" customFormat="false" ht="15" hidden="false" customHeight="false" outlineLevel="0" collapsed="false">
      <c r="A411" s="26" t="n">
        <v>46088</v>
      </c>
      <c r="B411" s="27" t="n">
        <v>2026</v>
      </c>
      <c r="C411" s="27" t="n">
        <v>3</v>
      </c>
      <c r="D411" s="27" t="s">
        <v>82</v>
      </c>
      <c r="E411" s="27" t="s">
        <v>92</v>
      </c>
      <c r="F411" s="27" t="s">
        <v>105</v>
      </c>
      <c r="G411" s="27" t="s">
        <v>116</v>
      </c>
      <c r="H411" s="28" t="n">
        <v>2</v>
      </c>
      <c r="I411" s="29" t="n">
        <v>620</v>
      </c>
      <c r="J411" s="29" t="n">
        <v>1240</v>
      </c>
      <c r="K411" s="29" t="n">
        <f aca="false">H411*I411</f>
        <v>1240</v>
      </c>
      <c r="L411" s="29" t="n">
        <f aca="false">IFERROR(INDEX(Cat_Productos!$B$2:$B$6,MATCH(G411,Cat_Productos!$A$2:$A$6,0)),"")</f>
        <v>290</v>
      </c>
      <c r="M411" s="29" t="n">
        <f aca="false">IF(L411="","",H411*L411)</f>
        <v>580</v>
      </c>
      <c r="N411" s="29" t="n">
        <f aca="false">IF(M411="","",J411-M411)</f>
        <v>660</v>
      </c>
      <c r="O411" s="30" t="n">
        <f aca="false">IFERROR(N411/J411,0)</f>
        <v>0.532258064516129</v>
      </c>
      <c r="P411" s="27"/>
      <c r="Q411" s="27" t="s">
        <v>153</v>
      </c>
      <c r="R411" s="27" t="s">
        <v>154</v>
      </c>
      <c r="S411" s="27" t="n">
        <v>38</v>
      </c>
      <c r="T411" s="27"/>
    </row>
    <row r="412" customFormat="false" ht="15" hidden="false" customHeight="false" outlineLevel="0" collapsed="false">
      <c r="A412" s="26" t="n">
        <v>46088</v>
      </c>
      <c r="B412" s="27" t="n">
        <v>2026</v>
      </c>
      <c r="C412" s="27" t="n">
        <v>3</v>
      </c>
      <c r="D412" s="27" t="s">
        <v>82</v>
      </c>
      <c r="E412" s="27" t="s">
        <v>91</v>
      </c>
      <c r="F412" s="27" t="s">
        <v>103</v>
      </c>
      <c r="G412" s="27" t="s">
        <v>117</v>
      </c>
      <c r="H412" s="28" t="n">
        <v>4</v>
      </c>
      <c r="I412" s="29" t="n">
        <v>1450</v>
      </c>
      <c r="J412" s="29" t="n">
        <v>5800</v>
      </c>
      <c r="K412" s="29" t="n">
        <f aca="false">H412*I412</f>
        <v>5800</v>
      </c>
      <c r="L412" s="29" t="n">
        <f aca="false">IFERROR(INDEX(Cat_Productos!$B$2:$B$6,MATCH(G412,Cat_Productos!$A$2:$A$6,0)),"")</f>
        <v>780</v>
      </c>
      <c r="M412" s="29" t="n">
        <f aca="false">IF(L412="","",H412*L412)</f>
        <v>3120</v>
      </c>
      <c r="N412" s="29" t="n">
        <f aca="false">IF(M412="","",J412-M412)</f>
        <v>2680</v>
      </c>
      <c r="O412" s="30" t="n">
        <f aca="false">IFERROR(N412/J412,0)</f>
        <v>0.462068965517241</v>
      </c>
      <c r="P412" s="27"/>
      <c r="Q412" s="27" t="s">
        <v>153</v>
      </c>
      <c r="R412" s="27" t="s">
        <v>154</v>
      </c>
      <c r="S412" s="27" t="n">
        <v>154</v>
      </c>
      <c r="T412" s="27"/>
    </row>
    <row r="413" customFormat="false" ht="15" hidden="false" customHeight="false" outlineLevel="0" collapsed="false">
      <c r="A413" s="26" t="n">
        <v>46088</v>
      </c>
      <c r="B413" s="27" t="n">
        <v>2026</v>
      </c>
      <c r="C413" s="27" t="n">
        <v>3</v>
      </c>
      <c r="D413" s="27" t="s">
        <v>82</v>
      </c>
      <c r="E413" s="27" t="s">
        <v>93</v>
      </c>
      <c r="F413" s="27" t="s">
        <v>108</v>
      </c>
      <c r="G413" s="27" t="s">
        <v>116</v>
      </c>
      <c r="H413" s="28" t="n">
        <v>4</v>
      </c>
      <c r="I413" s="29" t="n">
        <v>620</v>
      </c>
      <c r="J413" s="29" t="n">
        <v>2480</v>
      </c>
      <c r="K413" s="29" t="n">
        <f aca="false">H413*I413</f>
        <v>2480</v>
      </c>
      <c r="L413" s="29" t="n">
        <f aca="false">IFERROR(INDEX(Cat_Productos!$B$2:$B$6,MATCH(G413,Cat_Productos!$A$2:$A$6,0)),"")</f>
        <v>290</v>
      </c>
      <c r="M413" s="29" t="n">
        <f aca="false">IF(L413="","",H413*L413)</f>
        <v>1160</v>
      </c>
      <c r="N413" s="29" t="n">
        <f aca="false">IF(M413="","",J413-M413)</f>
        <v>1320</v>
      </c>
      <c r="O413" s="30" t="n">
        <f aca="false">IFERROR(N413/J413,0)</f>
        <v>0.532258064516129</v>
      </c>
      <c r="P413" s="27"/>
      <c r="Q413" s="27" t="s">
        <v>153</v>
      </c>
      <c r="R413" s="27" t="s">
        <v>154</v>
      </c>
      <c r="S413" s="27" t="n">
        <v>87</v>
      </c>
      <c r="T413" s="27"/>
    </row>
    <row r="414" customFormat="false" ht="15" hidden="false" customHeight="false" outlineLevel="0" collapsed="false">
      <c r="A414" s="26" t="n">
        <v>46088</v>
      </c>
      <c r="B414" s="27" t="n">
        <v>2026</v>
      </c>
      <c r="C414" s="27" t="n">
        <v>3</v>
      </c>
      <c r="D414" s="27" t="s">
        <v>82</v>
      </c>
      <c r="E414" s="27" t="s">
        <v>92</v>
      </c>
      <c r="F414" s="27" t="s">
        <v>105</v>
      </c>
      <c r="G414" s="27" t="s">
        <v>116</v>
      </c>
      <c r="H414" s="28" t="n">
        <v>4</v>
      </c>
      <c r="I414" s="29" t="n">
        <v>620</v>
      </c>
      <c r="J414" s="29" t="n">
        <v>2480</v>
      </c>
      <c r="K414" s="29" t="n">
        <f aca="false">H414*I414</f>
        <v>2480</v>
      </c>
      <c r="L414" s="29" t="n">
        <f aca="false">IFERROR(INDEX(Cat_Productos!$B$2:$B$6,MATCH(G414,Cat_Productos!$A$2:$A$6,0)),"")</f>
        <v>290</v>
      </c>
      <c r="M414" s="29" t="n">
        <f aca="false">IF(L414="","",H414*L414)</f>
        <v>1160</v>
      </c>
      <c r="N414" s="29" t="n">
        <f aca="false">IF(M414="","",J414-M414)</f>
        <v>1320</v>
      </c>
      <c r="O414" s="30" t="n">
        <f aca="false">IFERROR(N414/J414,0)</f>
        <v>0.532258064516129</v>
      </c>
      <c r="P414" s="27"/>
      <c r="Q414" s="27" t="s">
        <v>153</v>
      </c>
      <c r="R414" s="27" t="s">
        <v>154</v>
      </c>
      <c r="S414" s="27" t="n">
        <v>52</v>
      </c>
      <c r="T414" s="27"/>
    </row>
    <row r="415" customFormat="false" ht="15" hidden="false" customHeight="false" outlineLevel="0" collapsed="false">
      <c r="A415" s="26" t="n">
        <v>46088</v>
      </c>
      <c r="B415" s="27" t="n">
        <v>2026</v>
      </c>
      <c r="C415" s="27" t="n">
        <v>3</v>
      </c>
      <c r="D415" s="27" t="s">
        <v>82</v>
      </c>
      <c r="E415" s="27" t="s">
        <v>91</v>
      </c>
      <c r="F415" s="27" t="s">
        <v>107</v>
      </c>
      <c r="G415" s="27" t="s">
        <v>116</v>
      </c>
      <c r="H415" s="28" t="n">
        <v>6</v>
      </c>
      <c r="I415" s="29" t="n">
        <v>620</v>
      </c>
      <c r="J415" s="29" t="n">
        <v>3720</v>
      </c>
      <c r="K415" s="29" t="n">
        <f aca="false">H415*I415</f>
        <v>3720</v>
      </c>
      <c r="L415" s="29" t="n">
        <f aca="false">IFERROR(INDEX(Cat_Productos!$B$2:$B$6,MATCH(G415,Cat_Productos!$A$2:$A$6,0)),"")</f>
        <v>290</v>
      </c>
      <c r="M415" s="29" t="n">
        <f aca="false">IF(L415="","",H415*L415)</f>
        <v>1740</v>
      </c>
      <c r="N415" s="29" t="n">
        <f aca="false">IF(M415="","",J415-M415)</f>
        <v>1980</v>
      </c>
      <c r="O415" s="30" t="n">
        <f aca="false">IFERROR(N415/J415,0)</f>
        <v>0.532258064516129</v>
      </c>
      <c r="P415" s="27"/>
      <c r="Q415" s="27" t="s">
        <v>153</v>
      </c>
      <c r="R415" s="27" t="s">
        <v>154</v>
      </c>
      <c r="S415" s="27" t="n">
        <v>128</v>
      </c>
      <c r="T415" s="27"/>
    </row>
    <row r="416" customFormat="false" ht="15" hidden="false" customHeight="false" outlineLevel="0" collapsed="false">
      <c r="A416" s="26" t="n">
        <v>46088</v>
      </c>
      <c r="B416" s="27" t="n">
        <v>2026</v>
      </c>
      <c r="C416" s="27" t="n">
        <v>3</v>
      </c>
      <c r="D416" s="27" t="s">
        <v>82</v>
      </c>
      <c r="E416" s="27" t="s">
        <v>92</v>
      </c>
      <c r="F416" s="27" t="s">
        <v>105</v>
      </c>
      <c r="G416" s="27" t="s">
        <v>117</v>
      </c>
      <c r="H416" s="28" t="n">
        <v>6</v>
      </c>
      <c r="I416" s="29" t="n">
        <v>1450</v>
      </c>
      <c r="J416" s="29" t="n">
        <v>8700</v>
      </c>
      <c r="K416" s="29" t="n">
        <f aca="false">H416*I416</f>
        <v>8700</v>
      </c>
      <c r="L416" s="29" t="n">
        <f aca="false">IFERROR(INDEX(Cat_Productos!$B$2:$B$6,MATCH(G416,Cat_Productos!$A$2:$A$6,0)),"")</f>
        <v>780</v>
      </c>
      <c r="M416" s="29" t="n">
        <f aca="false">IF(L416="","",H416*L416)</f>
        <v>4680</v>
      </c>
      <c r="N416" s="29" t="n">
        <f aca="false">IF(M416="","",J416-M416)</f>
        <v>4020</v>
      </c>
      <c r="O416" s="30" t="n">
        <f aca="false">IFERROR(N416/J416,0)</f>
        <v>0.462068965517241</v>
      </c>
      <c r="P416" s="27"/>
      <c r="Q416" s="27" t="s">
        <v>153</v>
      </c>
      <c r="R416" s="27" t="s">
        <v>154</v>
      </c>
      <c r="S416" s="27" t="n">
        <v>14</v>
      </c>
      <c r="T416" s="27"/>
    </row>
    <row r="417" customFormat="false" ht="15" hidden="false" customHeight="false" outlineLevel="0" collapsed="false">
      <c r="A417" s="26" t="n">
        <v>46088</v>
      </c>
      <c r="B417" s="27" t="n">
        <v>2026</v>
      </c>
      <c r="C417" s="27" t="n">
        <v>3</v>
      </c>
      <c r="D417" s="27" t="s">
        <v>82</v>
      </c>
      <c r="E417" s="27" t="s">
        <v>92</v>
      </c>
      <c r="F417" s="27" t="s">
        <v>105</v>
      </c>
      <c r="G417" s="27" t="s">
        <v>117</v>
      </c>
      <c r="H417" s="28" t="n">
        <v>2</v>
      </c>
      <c r="I417" s="29" t="n">
        <v>1450</v>
      </c>
      <c r="J417" s="29" t="n">
        <v>2900</v>
      </c>
      <c r="K417" s="29" t="n">
        <f aca="false">H417*I417</f>
        <v>2900</v>
      </c>
      <c r="L417" s="29" t="n">
        <f aca="false">IFERROR(INDEX(Cat_Productos!$B$2:$B$6,MATCH(G417,Cat_Productos!$A$2:$A$6,0)),"")</f>
        <v>780</v>
      </c>
      <c r="M417" s="29" t="n">
        <f aca="false">IF(L417="","",H417*L417)</f>
        <v>1560</v>
      </c>
      <c r="N417" s="29" t="n">
        <f aca="false">IF(M417="","",J417-M417)</f>
        <v>1340</v>
      </c>
      <c r="O417" s="30" t="n">
        <f aca="false">IFERROR(N417/J417,0)</f>
        <v>0.462068965517241</v>
      </c>
      <c r="P417" s="27"/>
      <c r="Q417" s="27" t="s">
        <v>153</v>
      </c>
      <c r="R417" s="27" t="s">
        <v>154</v>
      </c>
      <c r="S417" s="27" t="n">
        <v>16</v>
      </c>
      <c r="T417" s="27"/>
    </row>
    <row r="418" customFormat="false" ht="15" hidden="false" customHeight="false" outlineLevel="0" collapsed="false">
      <c r="A418" s="26" t="n">
        <v>46088</v>
      </c>
      <c r="B418" s="27" t="n">
        <v>2026</v>
      </c>
      <c r="C418" s="27" t="n">
        <v>3</v>
      </c>
      <c r="D418" s="27" t="s">
        <v>82</v>
      </c>
      <c r="E418" s="27" t="s">
        <v>91</v>
      </c>
      <c r="F418" s="27" t="s">
        <v>107</v>
      </c>
      <c r="G418" s="27" t="s">
        <v>117</v>
      </c>
      <c r="H418" s="28" t="n">
        <v>2</v>
      </c>
      <c r="I418" s="29" t="n">
        <v>1450</v>
      </c>
      <c r="J418" s="29" t="n">
        <v>2900</v>
      </c>
      <c r="K418" s="29" t="n">
        <f aca="false">H418*I418</f>
        <v>2900</v>
      </c>
      <c r="L418" s="29" t="n">
        <f aca="false">IFERROR(INDEX(Cat_Productos!$B$2:$B$6,MATCH(G418,Cat_Productos!$A$2:$A$6,0)),"")</f>
        <v>780</v>
      </c>
      <c r="M418" s="29" t="n">
        <f aca="false">IF(L418="","",H418*L418)</f>
        <v>1560</v>
      </c>
      <c r="N418" s="29" t="n">
        <f aca="false">IF(M418="","",J418-M418)</f>
        <v>1340</v>
      </c>
      <c r="O418" s="30" t="n">
        <f aca="false">IFERROR(N418/J418,0)</f>
        <v>0.462068965517241</v>
      </c>
      <c r="P418" s="27"/>
      <c r="Q418" s="27" t="s">
        <v>153</v>
      </c>
      <c r="R418" s="27" t="s">
        <v>154</v>
      </c>
      <c r="S418" s="27" t="n">
        <v>110</v>
      </c>
      <c r="T418" s="27"/>
    </row>
    <row r="419" customFormat="false" ht="15" hidden="false" customHeight="false" outlineLevel="0" collapsed="false">
      <c r="A419" s="26" t="n">
        <v>46090</v>
      </c>
      <c r="B419" s="27" t="n">
        <v>2026</v>
      </c>
      <c r="C419" s="27" t="n">
        <v>3</v>
      </c>
      <c r="D419" s="27" t="s">
        <v>82</v>
      </c>
      <c r="E419" s="27" t="s">
        <v>92</v>
      </c>
      <c r="F419" s="27" t="s">
        <v>105</v>
      </c>
      <c r="G419" s="27" t="s">
        <v>117</v>
      </c>
      <c r="H419" s="28" t="n">
        <v>4</v>
      </c>
      <c r="I419" s="29" t="n">
        <v>1450</v>
      </c>
      <c r="J419" s="29" t="n">
        <v>5800</v>
      </c>
      <c r="K419" s="29" t="n">
        <f aca="false">H419*I419</f>
        <v>5800</v>
      </c>
      <c r="L419" s="29" t="n">
        <f aca="false">IFERROR(INDEX(Cat_Productos!$B$2:$B$6,MATCH(G419,Cat_Productos!$A$2:$A$6,0)),"")</f>
        <v>780</v>
      </c>
      <c r="M419" s="29" t="n">
        <f aca="false">IF(L419="","",H419*L419)</f>
        <v>3120</v>
      </c>
      <c r="N419" s="29" t="n">
        <f aca="false">IF(M419="","",J419-M419)</f>
        <v>2680</v>
      </c>
      <c r="O419" s="30" t="n">
        <f aca="false">IFERROR(N419/J419,0)</f>
        <v>0.462068965517241</v>
      </c>
      <c r="P419" s="27"/>
      <c r="Q419" s="27" t="s">
        <v>153</v>
      </c>
      <c r="R419" s="27" t="s">
        <v>154</v>
      </c>
      <c r="S419" s="27" t="n">
        <v>15</v>
      </c>
      <c r="T419" s="27"/>
    </row>
    <row r="420" customFormat="false" ht="15" hidden="false" customHeight="false" outlineLevel="0" collapsed="false">
      <c r="A420" s="26" t="n">
        <v>46090</v>
      </c>
      <c r="B420" s="27" t="n">
        <v>2026</v>
      </c>
      <c r="C420" s="27" t="n">
        <v>3</v>
      </c>
      <c r="D420" s="27" t="s">
        <v>82</v>
      </c>
      <c r="E420" s="27" t="s">
        <v>93</v>
      </c>
      <c r="F420" s="27" t="s">
        <v>108</v>
      </c>
      <c r="G420" s="27" t="s">
        <v>116</v>
      </c>
      <c r="H420" s="28" t="n">
        <v>2</v>
      </c>
      <c r="I420" s="29" t="n">
        <v>620</v>
      </c>
      <c r="J420" s="29" t="n">
        <v>1240</v>
      </c>
      <c r="K420" s="29" t="n">
        <f aca="false">H420*I420</f>
        <v>1240</v>
      </c>
      <c r="L420" s="29" t="n">
        <f aca="false">IFERROR(INDEX(Cat_Productos!$B$2:$B$6,MATCH(G420,Cat_Productos!$A$2:$A$6,0)),"")</f>
        <v>290</v>
      </c>
      <c r="M420" s="29" t="n">
        <f aca="false">IF(L420="","",H420*L420)</f>
        <v>580</v>
      </c>
      <c r="N420" s="29" t="n">
        <f aca="false">IF(M420="","",J420-M420)</f>
        <v>660</v>
      </c>
      <c r="O420" s="30" t="n">
        <f aca="false">IFERROR(N420/J420,0)</f>
        <v>0.532258064516129</v>
      </c>
      <c r="P420" s="27"/>
      <c r="Q420" s="27" t="s">
        <v>153</v>
      </c>
      <c r="R420" s="27" t="s">
        <v>154</v>
      </c>
      <c r="S420" s="27" t="n">
        <v>88</v>
      </c>
      <c r="T420" s="27"/>
    </row>
    <row r="421" customFormat="false" ht="15" hidden="false" customHeight="false" outlineLevel="0" collapsed="false">
      <c r="A421" s="26" t="n">
        <v>46090</v>
      </c>
      <c r="B421" s="27" t="n">
        <v>2026</v>
      </c>
      <c r="C421" s="27" t="n">
        <v>3</v>
      </c>
      <c r="D421" s="27" t="s">
        <v>82</v>
      </c>
      <c r="E421" s="27" t="s">
        <v>91</v>
      </c>
      <c r="F421" s="27" t="s">
        <v>107</v>
      </c>
      <c r="G421" s="27" t="s">
        <v>114</v>
      </c>
      <c r="H421" s="28" t="n">
        <v>2</v>
      </c>
      <c r="I421" s="29" t="n">
        <v>24500</v>
      </c>
      <c r="J421" s="29" t="n">
        <v>49000</v>
      </c>
      <c r="K421" s="29" t="n">
        <f aca="false">H421*I421</f>
        <v>49000</v>
      </c>
      <c r="L421" s="29" t="n">
        <f aca="false">IFERROR(INDEX(Cat_Productos!$B$2:$B$6,MATCH(G421,Cat_Productos!$A$2:$A$6,0)),"")</f>
        <v>19200</v>
      </c>
      <c r="M421" s="29" t="n">
        <f aca="false">IF(L421="","",H421*L421)</f>
        <v>38400</v>
      </c>
      <c r="N421" s="29" t="n">
        <f aca="false">IF(M421="","",J421-M421)</f>
        <v>10600</v>
      </c>
      <c r="O421" s="30" t="n">
        <f aca="false">IFERROR(N421/J421,0)</f>
        <v>0.216326530612245</v>
      </c>
      <c r="P421" s="27"/>
      <c r="Q421" s="27" t="s">
        <v>153</v>
      </c>
      <c r="R421" s="27" t="s">
        <v>154</v>
      </c>
      <c r="S421" s="27" t="n">
        <v>99</v>
      </c>
      <c r="T421" s="27"/>
    </row>
    <row r="422" customFormat="false" ht="15" hidden="false" customHeight="false" outlineLevel="0" collapsed="false">
      <c r="A422" s="26" t="n">
        <v>46090</v>
      </c>
      <c r="B422" s="27" t="n">
        <v>2026</v>
      </c>
      <c r="C422" s="27" t="n">
        <v>3</v>
      </c>
      <c r="D422" s="27" t="s">
        <v>82</v>
      </c>
      <c r="E422" s="27" t="s">
        <v>91</v>
      </c>
      <c r="F422" s="27" t="s">
        <v>107</v>
      </c>
      <c r="G422" s="27" t="s">
        <v>114</v>
      </c>
      <c r="H422" s="28" t="n">
        <v>2</v>
      </c>
      <c r="I422" s="29" t="n">
        <v>24500</v>
      </c>
      <c r="J422" s="29" t="n">
        <v>49000</v>
      </c>
      <c r="K422" s="29" t="n">
        <f aca="false">H422*I422</f>
        <v>49000</v>
      </c>
      <c r="L422" s="29" t="n">
        <f aca="false">IFERROR(INDEX(Cat_Productos!$B$2:$B$6,MATCH(G422,Cat_Productos!$A$2:$A$6,0)),"")</f>
        <v>19200</v>
      </c>
      <c r="M422" s="29" t="n">
        <f aca="false">IF(L422="","",H422*L422)</f>
        <v>38400</v>
      </c>
      <c r="N422" s="29" t="n">
        <f aca="false">IF(M422="","",J422-M422)</f>
        <v>10600</v>
      </c>
      <c r="O422" s="30" t="n">
        <f aca="false">IFERROR(N422/J422,0)</f>
        <v>0.216326530612245</v>
      </c>
      <c r="P422" s="27"/>
      <c r="Q422" s="27" t="s">
        <v>153</v>
      </c>
      <c r="R422" s="27" t="s">
        <v>154</v>
      </c>
      <c r="S422" s="27" t="n">
        <v>101</v>
      </c>
      <c r="T422" s="27"/>
    </row>
    <row r="423" customFormat="false" ht="15" hidden="false" customHeight="false" outlineLevel="0" collapsed="false">
      <c r="A423" s="26" t="n">
        <v>46090</v>
      </c>
      <c r="B423" s="27" t="n">
        <v>2026</v>
      </c>
      <c r="C423" s="27" t="n">
        <v>3</v>
      </c>
      <c r="D423" s="27" t="s">
        <v>82</v>
      </c>
      <c r="E423" s="27" t="s">
        <v>93</v>
      </c>
      <c r="F423" s="27" t="s">
        <v>108</v>
      </c>
      <c r="G423" s="27" t="s">
        <v>116</v>
      </c>
      <c r="H423" s="28" t="n">
        <v>4</v>
      </c>
      <c r="I423" s="29" t="n">
        <v>620</v>
      </c>
      <c r="J423" s="29" t="n">
        <v>2480</v>
      </c>
      <c r="K423" s="29" t="n">
        <f aca="false">H423*I423</f>
        <v>2480</v>
      </c>
      <c r="L423" s="29" t="n">
        <f aca="false">IFERROR(INDEX(Cat_Productos!$B$2:$B$6,MATCH(G423,Cat_Productos!$A$2:$A$6,0)),"")</f>
        <v>290</v>
      </c>
      <c r="M423" s="29" t="n">
        <f aca="false">IF(L423="","",H423*L423)</f>
        <v>1160</v>
      </c>
      <c r="N423" s="29" t="n">
        <f aca="false">IF(M423="","",J423-M423)</f>
        <v>1320</v>
      </c>
      <c r="O423" s="30" t="n">
        <f aca="false">IFERROR(N423/J423,0)</f>
        <v>0.532258064516129</v>
      </c>
      <c r="P423" s="27"/>
      <c r="Q423" s="27" t="s">
        <v>153</v>
      </c>
      <c r="R423" s="27" t="s">
        <v>154</v>
      </c>
      <c r="S423" s="27" t="n">
        <v>96</v>
      </c>
      <c r="T423" s="27"/>
    </row>
    <row r="424" customFormat="false" ht="15" hidden="false" customHeight="false" outlineLevel="0" collapsed="false">
      <c r="A424" s="26" t="n">
        <v>46090</v>
      </c>
      <c r="B424" s="27" t="n">
        <v>2026</v>
      </c>
      <c r="C424" s="27" t="n">
        <v>3</v>
      </c>
      <c r="D424" s="27" t="s">
        <v>82</v>
      </c>
      <c r="E424" s="27" t="s">
        <v>91</v>
      </c>
      <c r="F424" s="27" t="s">
        <v>107</v>
      </c>
      <c r="G424" s="27" t="s">
        <v>117</v>
      </c>
      <c r="H424" s="28" t="n">
        <v>2</v>
      </c>
      <c r="I424" s="29" t="n">
        <v>1450</v>
      </c>
      <c r="J424" s="29" t="n">
        <v>2900</v>
      </c>
      <c r="K424" s="29" t="n">
        <f aca="false">H424*I424</f>
        <v>2900</v>
      </c>
      <c r="L424" s="29" t="n">
        <f aca="false">IFERROR(INDEX(Cat_Productos!$B$2:$B$6,MATCH(G424,Cat_Productos!$A$2:$A$6,0)),"")</f>
        <v>780</v>
      </c>
      <c r="M424" s="29" t="n">
        <f aca="false">IF(L424="","",H424*L424)</f>
        <v>1560</v>
      </c>
      <c r="N424" s="29" t="n">
        <f aca="false">IF(M424="","",J424-M424)</f>
        <v>1340</v>
      </c>
      <c r="O424" s="30" t="n">
        <f aca="false">IFERROR(N424/J424,0)</f>
        <v>0.462068965517241</v>
      </c>
      <c r="P424" s="27"/>
      <c r="Q424" s="27" t="s">
        <v>153</v>
      </c>
      <c r="R424" s="27" t="s">
        <v>154</v>
      </c>
      <c r="S424" s="27" t="n">
        <v>107</v>
      </c>
      <c r="T424" s="27"/>
    </row>
    <row r="425" customFormat="false" ht="15" hidden="false" customHeight="false" outlineLevel="0" collapsed="false">
      <c r="A425" s="26" t="n">
        <v>46090</v>
      </c>
      <c r="B425" s="27" t="n">
        <v>2026</v>
      </c>
      <c r="C425" s="27" t="n">
        <v>3</v>
      </c>
      <c r="D425" s="27" t="s">
        <v>82</v>
      </c>
      <c r="E425" s="27" t="s">
        <v>93</v>
      </c>
      <c r="F425" s="27" t="s">
        <v>104</v>
      </c>
      <c r="G425" s="27" t="s">
        <v>116</v>
      </c>
      <c r="H425" s="28" t="n">
        <v>2</v>
      </c>
      <c r="I425" s="29" t="n">
        <v>620</v>
      </c>
      <c r="J425" s="29" t="n">
        <v>1240</v>
      </c>
      <c r="K425" s="29" t="n">
        <f aca="false">H425*I425</f>
        <v>1240</v>
      </c>
      <c r="L425" s="29" t="n">
        <f aca="false">IFERROR(INDEX(Cat_Productos!$B$2:$B$6,MATCH(G425,Cat_Productos!$A$2:$A$6,0)),"")</f>
        <v>290</v>
      </c>
      <c r="M425" s="29" t="n">
        <f aca="false">IF(L425="","",H425*L425)</f>
        <v>580</v>
      </c>
      <c r="N425" s="29" t="n">
        <f aca="false">IF(M425="","",J425-M425)</f>
        <v>660</v>
      </c>
      <c r="O425" s="30" t="n">
        <f aca="false">IFERROR(N425/J425,0)</f>
        <v>0.532258064516129</v>
      </c>
      <c r="P425" s="27"/>
      <c r="Q425" s="27" t="s">
        <v>153</v>
      </c>
      <c r="R425" s="27" t="s">
        <v>154</v>
      </c>
      <c r="S425" s="27" t="n">
        <v>221</v>
      </c>
      <c r="T425" s="27"/>
    </row>
    <row r="426" customFormat="false" ht="15" hidden="false" customHeight="false" outlineLevel="0" collapsed="false">
      <c r="A426" s="26" t="n">
        <v>46090</v>
      </c>
      <c r="B426" s="27" t="n">
        <v>2026</v>
      </c>
      <c r="C426" s="27" t="n">
        <v>3</v>
      </c>
      <c r="D426" s="27" t="s">
        <v>82</v>
      </c>
      <c r="E426" s="27" t="s">
        <v>91</v>
      </c>
      <c r="F426" s="27" t="s">
        <v>103</v>
      </c>
      <c r="G426" s="27" t="s">
        <v>116</v>
      </c>
      <c r="H426" s="28" t="n">
        <v>2</v>
      </c>
      <c r="I426" s="29" t="n">
        <v>620</v>
      </c>
      <c r="J426" s="29" t="n">
        <v>1240</v>
      </c>
      <c r="K426" s="29" t="n">
        <f aca="false">H426*I426</f>
        <v>1240</v>
      </c>
      <c r="L426" s="29" t="n">
        <f aca="false">IFERROR(INDEX(Cat_Productos!$B$2:$B$6,MATCH(G426,Cat_Productos!$A$2:$A$6,0)),"")</f>
        <v>290</v>
      </c>
      <c r="M426" s="29" t="n">
        <f aca="false">IF(L426="","",H426*L426)</f>
        <v>580</v>
      </c>
      <c r="N426" s="29" t="n">
        <f aca="false">IF(M426="","",J426-M426)</f>
        <v>660</v>
      </c>
      <c r="O426" s="30" t="n">
        <f aca="false">IFERROR(N426/J426,0)</f>
        <v>0.532258064516129</v>
      </c>
      <c r="P426" s="27"/>
      <c r="Q426" s="27" t="s">
        <v>153</v>
      </c>
      <c r="R426" s="27" t="s">
        <v>154</v>
      </c>
      <c r="S426" s="27" t="n">
        <v>185</v>
      </c>
      <c r="T426" s="27"/>
    </row>
    <row r="427" customFormat="false" ht="15" hidden="false" customHeight="false" outlineLevel="0" collapsed="false">
      <c r="A427" s="26" t="n">
        <v>46090</v>
      </c>
      <c r="B427" s="27" t="n">
        <v>2026</v>
      </c>
      <c r="C427" s="27" t="n">
        <v>3</v>
      </c>
      <c r="D427" s="27" t="s">
        <v>82</v>
      </c>
      <c r="E427" s="27" t="s">
        <v>91</v>
      </c>
      <c r="F427" s="27" t="s">
        <v>103</v>
      </c>
      <c r="G427" s="27" t="s">
        <v>116</v>
      </c>
      <c r="H427" s="28" t="n">
        <v>4</v>
      </c>
      <c r="I427" s="29" t="n">
        <v>620</v>
      </c>
      <c r="J427" s="29" t="n">
        <v>2480</v>
      </c>
      <c r="K427" s="29" t="n">
        <f aca="false">H427*I427</f>
        <v>2480</v>
      </c>
      <c r="L427" s="29" t="n">
        <f aca="false">IFERROR(INDEX(Cat_Productos!$B$2:$B$6,MATCH(G427,Cat_Productos!$A$2:$A$6,0)),"")</f>
        <v>290</v>
      </c>
      <c r="M427" s="29" t="n">
        <f aca="false">IF(L427="","",H427*L427)</f>
        <v>1160</v>
      </c>
      <c r="N427" s="29" t="n">
        <f aca="false">IF(M427="","",J427-M427)</f>
        <v>1320</v>
      </c>
      <c r="O427" s="30" t="n">
        <f aca="false">IFERROR(N427/J427,0)</f>
        <v>0.532258064516129</v>
      </c>
      <c r="P427" s="27"/>
      <c r="Q427" s="27" t="s">
        <v>153</v>
      </c>
      <c r="R427" s="27" t="s">
        <v>154</v>
      </c>
      <c r="S427" s="27" t="n">
        <v>181</v>
      </c>
      <c r="T427" s="27"/>
    </row>
    <row r="428" customFormat="false" ht="15" hidden="false" customHeight="false" outlineLevel="0" collapsed="false">
      <c r="A428" s="26" t="n">
        <v>46090</v>
      </c>
      <c r="B428" s="27" t="n">
        <v>2026</v>
      </c>
      <c r="C428" s="27" t="n">
        <v>3</v>
      </c>
      <c r="D428" s="27" t="s">
        <v>82</v>
      </c>
      <c r="E428" s="27" t="s">
        <v>93</v>
      </c>
      <c r="F428" s="27" t="s">
        <v>108</v>
      </c>
      <c r="G428" s="27" t="s">
        <v>117</v>
      </c>
      <c r="H428" s="28" t="n">
        <v>4</v>
      </c>
      <c r="I428" s="29" t="n">
        <v>1450</v>
      </c>
      <c r="J428" s="29" t="n">
        <v>5800</v>
      </c>
      <c r="K428" s="29" t="n">
        <f aca="false">H428*I428</f>
        <v>5800</v>
      </c>
      <c r="L428" s="29" t="n">
        <f aca="false">IFERROR(INDEX(Cat_Productos!$B$2:$B$6,MATCH(G428,Cat_Productos!$A$2:$A$6,0)),"")</f>
        <v>780</v>
      </c>
      <c r="M428" s="29" t="n">
        <f aca="false">IF(L428="","",H428*L428)</f>
        <v>3120</v>
      </c>
      <c r="N428" s="29" t="n">
        <f aca="false">IF(M428="","",J428-M428)</f>
        <v>2680</v>
      </c>
      <c r="O428" s="30" t="n">
        <f aca="false">IFERROR(N428/J428,0)</f>
        <v>0.462068965517241</v>
      </c>
      <c r="P428" s="27"/>
      <c r="Q428" s="27" t="s">
        <v>153</v>
      </c>
      <c r="R428" s="27" t="s">
        <v>154</v>
      </c>
      <c r="S428" s="27" t="n">
        <v>70</v>
      </c>
      <c r="T428" s="27"/>
    </row>
    <row r="429" customFormat="false" ht="15" hidden="false" customHeight="false" outlineLevel="0" collapsed="false">
      <c r="A429" s="26" t="n">
        <v>46090</v>
      </c>
      <c r="B429" s="27" t="n">
        <v>2026</v>
      </c>
      <c r="C429" s="27" t="n">
        <v>3</v>
      </c>
      <c r="D429" s="27" t="s">
        <v>82</v>
      </c>
      <c r="E429" s="27" t="s">
        <v>91</v>
      </c>
      <c r="F429" s="27" t="s">
        <v>103</v>
      </c>
      <c r="G429" s="27" t="s">
        <v>117</v>
      </c>
      <c r="H429" s="28" t="n">
        <v>6</v>
      </c>
      <c r="I429" s="29" t="n">
        <v>1450</v>
      </c>
      <c r="J429" s="29" t="n">
        <v>8700</v>
      </c>
      <c r="K429" s="29" t="n">
        <f aca="false">H429*I429</f>
        <v>8700</v>
      </c>
      <c r="L429" s="29" t="n">
        <f aca="false">IFERROR(INDEX(Cat_Productos!$B$2:$B$6,MATCH(G429,Cat_Productos!$A$2:$A$6,0)),"")</f>
        <v>780</v>
      </c>
      <c r="M429" s="29" t="n">
        <f aca="false">IF(L429="","",H429*L429)</f>
        <v>4680</v>
      </c>
      <c r="N429" s="29" t="n">
        <f aca="false">IF(M429="","",J429-M429)</f>
        <v>4020</v>
      </c>
      <c r="O429" s="30" t="n">
        <f aca="false">IFERROR(N429/J429,0)</f>
        <v>0.462068965517241</v>
      </c>
      <c r="P429" s="27"/>
      <c r="Q429" s="27" t="s">
        <v>153</v>
      </c>
      <c r="R429" s="27" t="s">
        <v>154</v>
      </c>
      <c r="S429" s="27" t="n">
        <v>161</v>
      </c>
      <c r="T429" s="27"/>
    </row>
    <row r="430" customFormat="false" ht="15" hidden="false" customHeight="false" outlineLevel="0" collapsed="false">
      <c r="A430" s="26" t="n">
        <v>46090</v>
      </c>
      <c r="B430" s="27" t="n">
        <v>2026</v>
      </c>
      <c r="C430" s="27" t="n">
        <v>3</v>
      </c>
      <c r="D430" s="27" t="s">
        <v>82</v>
      </c>
      <c r="E430" s="27" t="s">
        <v>92</v>
      </c>
      <c r="F430" s="27" t="s">
        <v>105</v>
      </c>
      <c r="G430" s="27" t="s">
        <v>116</v>
      </c>
      <c r="H430" s="28" t="n">
        <v>4</v>
      </c>
      <c r="I430" s="29" t="n">
        <v>620</v>
      </c>
      <c r="J430" s="29" t="n">
        <v>2480</v>
      </c>
      <c r="K430" s="29" t="n">
        <f aca="false">H430*I430</f>
        <v>2480</v>
      </c>
      <c r="L430" s="29" t="n">
        <f aca="false">IFERROR(INDEX(Cat_Productos!$B$2:$B$6,MATCH(G430,Cat_Productos!$A$2:$A$6,0)),"")</f>
        <v>290</v>
      </c>
      <c r="M430" s="29" t="n">
        <f aca="false">IF(L430="","",H430*L430)</f>
        <v>1160</v>
      </c>
      <c r="N430" s="29" t="n">
        <f aca="false">IF(M430="","",J430-M430)</f>
        <v>1320</v>
      </c>
      <c r="O430" s="30" t="n">
        <f aca="false">IFERROR(N430/J430,0)</f>
        <v>0.532258064516129</v>
      </c>
      <c r="P430" s="27"/>
      <c r="Q430" s="27" t="s">
        <v>153</v>
      </c>
      <c r="R430" s="27" t="s">
        <v>154</v>
      </c>
      <c r="S430" s="27" t="n">
        <v>49</v>
      </c>
      <c r="T430" s="27"/>
    </row>
    <row r="431" customFormat="false" ht="15" hidden="false" customHeight="false" outlineLevel="0" collapsed="false">
      <c r="A431" s="26" t="n">
        <v>46090</v>
      </c>
      <c r="B431" s="27" t="n">
        <v>2026</v>
      </c>
      <c r="C431" s="27" t="n">
        <v>3</v>
      </c>
      <c r="D431" s="27" t="s">
        <v>82</v>
      </c>
      <c r="E431" s="27" t="s">
        <v>92</v>
      </c>
      <c r="F431" s="27" t="s">
        <v>106</v>
      </c>
      <c r="G431" s="27" t="s">
        <v>116</v>
      </c>
      <c r="H431" s="28" t="n">
        <v>6</v>
      </c>
      <c r="I431" s="29" t="n">
        <v>620</v>
      </c>
      <c r="J431" s="29" t="n">
        <v>3720</v>
      </c>
      <c r="K431" s="29" t="n">
        <f aca="false">H431*I431</f>
        <v>3720</v>
      </c>
      <c r="L431" s="29" t="n">
        <f aca="false">IFERROR(INDEX(Cat_Productos!$B$2:$B$6,MATCH(G431,Cat_Productos!$A$2:$A$6,0)),"")</f>
        <v>290</v>
      </c>
      <c r="M431" s="29" t="n">
        <f aca="false">IF(L431="","",H431*L431)</f>
        <v>1740</v>
      </c>
      <c r="N431" s="29" t="n">
        <f aca="false">IF(M431="","",J431-M431)</f>
        <v>1980</v>
      </c>
      <c r="O431" s="30" t="n">
        <f aca="false">IFERROR(N431/J431,0)</f>
        <v>0.532258064516129</v>
      </c>
      <c r="P431" s="27"/>
      <c r="Q431" s="27" t="s">
        <v>153</v>
      </c>
      <c r="R431" s="27" t="s">
        <v>154</v>
      </c>
      <c r="S431" s="27" t="n">
        <v>204</v>
      </c>
      <c r="T431" s="27"/>
    </row>
    <row r="432" customFormat="false" ht="15" hidden="false" customHeight="false" outlineLevel="0" collapsed="false">
      <c r="A432" s="26" t="n">
        <v>46090</v>
      </c>
      <c r="B432" s="27" t="n">
        <v>2026</v>
      </c>
      <c r="C432" s="27" t="n">
        <v>3</v>
      </c>
      <c r="D432" s="27" t="s">
        <v>82</v>
      </c>
      <c r="E432" s="27" t="s">
        <v>92</v>
      </c>
      <c r="F432" s="27" t="s">
        <v>105</v>
      </c>
      <c r="G432" s="27" t="s">
        <v>116</v>
      </c>
      <c r="H432" s="28" t="n">
        <v>2</v>
      </c>
      <c r="I432" s="29" t="n">
        <v>620</v>
      </c>
      <c r="J432" s="29" t="n">
        <v>1240</v>
      </c>
      <c r="K432" s="29" t="n">
        <f aca="false">H432*I432</f>
        <v>1240</v>
      </c>
      <c r="L432" s="29" t="n">
        <f aca="false">IFERROR(INDEX(Cat_Productos!$B$2:$B$6,MATCH(G432,Cat_Productos!$A$2:$A$6,0)),"")</f>
        <v>290</v>
      </c>
      <c r="M432" s="29" t="n">
        <f aca="false">IF(L432="","",H432*L432)</f>
        <v>580</v>
      </c>
      <c r="N432" s="29" t="n">
        <f aca="false">IF(M432="","",J432-M432)</f>
        <v>660</v>
      </c>
      <c r="O432" s="30" t="n">
        <f aca="false">IFERROR(N432/J432,0)</f>
        <v>0.532258064516129</v>
      </c>
      <c r="P432" s="27"/>
      <c r="Q432" s="27" t="s">
        <v>153</v>
      </c>
      <c r="R432" s="27" t="s">
        <v>154</v>
      </c>
      <c r="S432" s="27" t="n">
        <v>43</v>
      </c>
      <c r="T432" s="27"/>
    </row>
    <row r="433" customFormat="false" ht="15" hidden="false" customHeight="false" outlineLevel="0" collapsed="false">
      <c r="A433" s="26" t="n">
        <v>46090</v>
      </c>
      <c r="B433" s="27" t="n">
        <v>2026</v>
      </c>
      <c r="C433" s="27" t="n">
        <v>3</v>
      </c>
      <c r="D433" s="27" t="s">
        <v>82</v>
      </c>
      <c r="E433" s="27" t="s">
        <v>91</v>
      </c>
      <c r="F433" s="27" t="s">
        <v>107</v>
      </c>
      <c r="G433" s="27" t="s">
        <v>116</v>
      </c>
      <c r="H433" s="28" t="n">
        <v>4</v>
      </c>
      <c r="I433" s="29" t="n">
        <v>620</v>
      </c>
      <c r="J433" s="29" t="n">
        <v>2480</v>
      </c>
      <c r="K433" s="29" t="n">
        <f aca="false">H433*I433</f>
        <v>2480</v>
      </c>
      <c r="L433" s="29" t="n">
        <f aca="false">IFERROR(INDEX(Cat_Productos!$B$2:$B$6,MATCH(G433,Cat_Productos!$A$2:$A$6,0)),"")</f>
        <v>290</v>
      </c>
      <c r="M433" s="29" t="n">
        <f aca="false">IF(L433="","",H433*L433)</f>
        <v>1160</v>
      </c>
      <c r="N433" s="29" t="n">
        <f aca="false">IF(M433="","",J433-M433)</f>
        <v>1320</v>
      </c>
      <c r="O433" s="30" t="n">
        <f aca="false">IFERROR(N433/J433,0)</f>
        <v>0.532258064516129</v>
      </c>
      <c r="P433" s="27"/>
      <c r="Q433" s="27" t="s">
        <v>153</v>
      </c>
      <c r="R433" s="27" t="s">
        <v>154</v>
      </c>
      <c r="S433" s="27" t="n">
        <v>131</v>
      </c>
      <c r="T433" s="27"/>
    </row>
    <row r="434" customFormat="false" ht="15" hidden="false" customHeight="false" outlineLevel="0" collapsed="false">
      <c r="A434" s="26" t="n">
        <v>46090</v>
      </c>
      <c r="B434" s="27" t="n">
        <v>2026</v>
      </c>
      <c r="C434" s="27" t="n">
        <v>3</v>
      </c>
      <c r="D434" s="27" t="s">
        <v>82</v>
      </c>
      <c r="E434" s="27" t="s">
        <v>92</v>
      </c>
      <c r="F434" s="27" t="s">
        <v>105</v>
      </c>
      <c r="G434" s="27" t="s">
        <v>117</v>
      </c>
      <c r="H434" s="28" t="n">
        <v>2</v>
      </c>
      <c r="I434" s="29" t="n">
        <v>1450</v>
      </c>
      <c r="J434" s="29" t="n">
        <v>2900</v>
      </c>
      <c r="K434" s="29" t="n">
        <f aca="false">H434*I434</f>
        <v>2900</v>
      </c>
      <c r="L434" s="29" t="n">
        <f aca="false">IFERROR(INDEX(Cat_Productos!$B$2:$B$6,MATCH(G434,Cat_Productos!$A$2:$A$6,0)),"")</f>
        <v>780</v>
      </c>
      <c r="M434" s="29" t="n">
        <f aca="false">IF(L434="","",H434*L434)</f>
        <v>1560</v>
      </c>
      <c r="N434" s="29" t="n">
        <f aca="false">IF(M434="","",J434-M434)</f>
        <v>1340</v>
      </c>
      <c r="O434" s="30" t="n">
        <f aca="false">IFERROR(N434/J434,0)</f>
        <v>0.462068965517241</v>
      </c>
      <c r="P434" s="27"/>
      <c r="Q434" s="27" t="s">
        <v>153</v>
      </c>
      <c r="R434" s="27" t="s">
        <v>154</v>
      </c>
      <c r="S434" s="27" t="n">
        <v>9</v>
      </c>
      <c r="T434" s="27"/>
    </row>
    <row r="435" customFormat="false" ht="15" hidden="false" customHeight="false" outlineLevel="0" collapsed="false">
      <c r="A435" s="26" t="n">
        <v>46090</v>
      </c>
      <c r="B435" s="27" t="n">
        <v>2026</v>
      </c>
      <c r="C435" s="27" t="n">
        <v>3</v>
      </c>
      <c r="D435" s="27" t="s">
        <v>82</v>
      </c>
      <c r="E435" s="27" t="s">
        <v>92</v>
      </c>
      <c r="F435" s="27" t="s">
        <v>105</v>
      </c>
      <c r="G435" s="27" t="s">
        <v>116</v>
      </c>
      <c r="H435" s="28" t="n">
        <v>6</v>
      </c>
      <c r="I435" s="29" t="n">
        <v>620</v>
      </c>
      <c r="J435" s="29" t="n">
        <v>3720</v>
      </c>
      <c r="K435" s="29" t="n">
        <f aca="false">H435*I435</f>
        <v>3720</v>
      </c>
      <c r="L435" s="29" t="n">
        <f aca="false">IFERROR(INDEX(Cat_Productos!$B$2:$B$6,MATCH(G435,Cat_Productos!$A$2:$A$6,0)),"")</f>
        <v>290</v>
      </c>
      <c r="M435" s="29" t="n">
        <f aca="false">IF(L435="","",H435*L435)</f>
        <v>1740</v>
      </c>
      <c r="N435" s="29" t="n">
        <f aca="false">IF(M435="","",J435-M435)</f>
        <v>1980</v>
      </c>
      <c r="O435" s="30" t="n">
        <f aca="false">IFERROR(N435/J435,0)</f>
        <v>0.532258064516129</v>
      </c>
      <c r="P435" s="27"/>
      <c r="Q435" s="27" t="s">
        <v>153</v>
      </c>
      <c r="R435" s="27" t="s">
        <v>154</v>
      </c>
      <c r="S435" s="27" t="n">
        <v>39</v>
      </c>
      <c r="T435" s="27"/>
    </row>
    <row r="436" customFormat="false" ht="15" hidden="false" customHeight="false" outlineLevel="0" collapsed="false">
      <c r="A436" s="26" t="n">
        <v>46090</v>
      </c>
      <c r="B436" s="27" t="n">
        <v>2026</v>
      </c>
      <c r="C436" s="27" t="n">
        <v>3</v>
      </c>
      <c r="D436" s="27" t="s">
        <v>82</v>
      </c>
      <c r="E436" s="27" t="s">
        <v>91</v>
      </c>
      <c r="F436" s="27" t="s">
        <v>107</v>
      </c>
      <c r="G436" s="27" t="s">
        <v>116</v>
      </c>
      <c r="H436" s="28" t="n">
        <v>2</v>
      </c>
      <c r="I436" s="29" t="n">
        <v>620</v>
      </c>
      <c r="J436" s="29" t="n">
        <v>1240</v>
      </c>
      <c r="K436" s="29" t="n">
        <f aca="false">H436*I436</f>
        <v>1240</v>
      </c>
      <c r="L436" s="29" t="n">
        <f aca="false">IFERROR(INDEX(Cat_Productos!$B$2:$B$6,MATCH(G436,Cat_Productos!$A$2:$A$6,0)),"")</f>
        <v>290</v>
      </c>
      <c r="M436" s="29" t="n">
        <f aca="false">IF(L436="","",H436*L436)</f>
        <v>580</v>
      </c>
      <c r="N436" s="29" t="n">
        <f aca="false">IF(M436="","",J436-M436)</f>
        <v>660</v>
      </c>
      <c r="O436" s="30" t="n">
        <f aca="false">IFERROR(N436/J436,0)</f>
        <v>0.532258064516129</v>
      </c>
      <c r="P436" s="27"/>
      <c r="Q436" s="27" t="s">
        <v>153</v>
      </c>
      <c r="R436" s="27" t="s">
        <v>154</v>
      </c>
      <c r="S436" s="27" t="n">
        <v>123</v>
      </c>
      <c r="T436" s="27"/>
    </row>
    <row r="437" customFormat="false" ht="15" hidden="false" customHeight="false" outlineLevel="0" collapsed="false">
      <c r="A437" s="26" t="n">
        <v>46090</v>
      </c>
      <c r="B437" s="27" t="n">
        <v>2026</v>
      </c>
      <c r="C437" s="27" t="n">
        <v>3</v>
      </c>
      <c r="D437" s="27" t="s">
        <v>82</v>
      </c>
      <c r="E437" s="27" t="s">
        <v>92</v>
      </c>
      <c r="F437" s="27" t="s">
        <v>106</v>
      </c>
      <c r="G437" s="27" t="s">
        <v>116</v>
      </c>
      <c r="H437" s="28" t="n">
        <v>2</v>
      </c>
      <c r="I437" s="29" t="n">
        <v>620</v>
      </c>
      <c r="J437" s="29" t="n">
        <v>1240</v>
      </c>
      <c r="K437" s="29" t="n">
        <f aca="false">H437*I437</f>
        <v>1240</v>
      </c>
      <c r="L437" s="29" t="n">
        <f aca="false">IFERROR(INDEX(Cat_Productos!$B$2:$B$6,MATCH(G437,Cat_Productos!$A$2:$A$6,0)),"")</f>
        <v>290</v>
      </c>
      <c r="M437" s="29" t="n">
        <f aca="false">IF(L437="","",H437*L437)</f>
        <v>580</v>
      </c>
      <c r="N437" s="29" t="n">
        <f aca="false">IF(M437="","",J437-M437)</f>
        <v>660</v>
      </c>
      <c r="O437" s="30" t="n">
        <f aca="false">IFERROR(N437/J437,0)</f>
        <v>0.532258064516129</v>
      </c>
      <c r="P437" s="27"/>
      <c r="Q437" s="27" t="s">
        <v>153</v>
      </c>
      <c r="R437" s="27" t="s">
        <v>154</v>
      </c>
      <c r="S437" s="27" t="n">
        <v>200</v>
      </c>
      <c r="T437" s="27"/>
    </row>
    <row r="438" customFormat="false" ht="15" hidden="false" customHeight="false" outlineLevel="0" collapsed="false">
      <c r="A438" s="26" t="n">
        <v>46090</v>
      </c>
      <c r="B438" s="27" t="n">
        <v>2026</v>
      </c>
      <c r="C438" s="27" t="n">
        <v>3</v>
      </c>
      <c r="D438" s="27" t="s">
        <v>82</v>
      </c>
      <c r="E438" s="27" t="s">
        <v>92</v>
      </c>
      <c r="F438" s="27" t="s">
        <v>105</v>
      </c>
      <c r="G438" s="27" t="s">
        <v>114</v>
      </c>
      <c r="H438" s="28" t="n">
        <v>2</v>
      </c>
      <c r="I438" s="29" t="n">
        <v>24500</v>
      </c>
      <c r="J438" s="29" t="n">
        <v>49000</v>
      </c>
      <c r="K438" s="29" t="n">
        <f aca="false">H438*I438</f>
        <v>49000</v>
      </c>
      <c r="L438" s="29" t="n">
        <f aca="false">IFERROR(INDEX(Cat_Productos!$B$2:$B$6,MATCH(G438,Cat_Productos!$A$2:$A$6,0)),"")</f>
        <v>19200</v>
      </c>
      <c r="M438" s="29" t="n">
        <f aca="false">IF(L438="","",H438*L438)</f>
        <v>38400</v>
      </c>
      <c r="N438" s="29" t="n">
        <f aca="false">IF(M438="","",J438-M438)</f>
        <v>10600</v>
      </c>
      <c r="O438" s="30" t="n">
        <f aca="false">IFERROR(N438/J438,0)</f>
        <v>0.216326530612245</v>
      </c>
      <c r="P438" s="27"/>
      <c r="Q438" s="27" t="s">
        <v>153</v>
      </c>
      <c r="R438" s="27" t="s">
        <v>154</v>
      </c>
      <c r="S438" s="27" t="n">
        <v>5</v>
      </c>
      <c r="T438" s="27"/>
    </row>
    <row r="439" customFormat="false" ht="15" hidden="false" customHeight="false" outlineLevel="0" collapsed="false">
      <c r="A439" s="26" t="n">
        <v>46090</v>
      </c>
      <c r="B439" s="27" t="n">
        <v>2026</v>
      </c>
      <c r="C439" s="27" t="n">
        <v>3</v>
      </c>
      <c r="D439" s="27" t="s">
        <v>82</v>
      </c>
      <c r="E439" s="27" t="s">
        <v>92</v>
      </c>
      <c r="F439" s="27" t="s">
        <v>105</v>
      </c>
      <c r="G439" s="27" t="s">
        <v>117</v>
      </c>
      <c r="H439" s="28" t="n">
        <v>6</v>
      </c>
      <c r="I439" s="29" t="n">
        <v>1450</v>
      </c>
      <c r="J439" s="29" t="n">
        <v>8700</v>
      </c>
      <c r="K439" s="29" t="n">
        <f aca="false">H439*I439</f>
        <v>8700</v>
      </c>
      <c r="L439" s="29" t="n">
        <f aca="false">IFERROR(INDEX(Cat_Productos!$B$2:$B$6,MATCH(G439,Cat_Productos!$A$2:$A$6,0)),"")</f>
        <v>780</v>
      </c>
      <c r="M439" s="29" t="n">
        <f aca="false">IF(L439="","",H439*L439)</f>
        <v>4680</v>
      </c>
      <c r="N439" s="29" t="n">
        <f aca="false">IF(M439="","",J439-M439)</f>
        <v>4020</v>
      </c>
      <c r="O439" s="30" t="n">
        <f aca="false">IFERROR(N439/J439,0)</f>
        <v>0.462068965517241</v>
      </c>
      <c r="P439" s="27"/>
      <c r="Q439" s="27" t="s">
        <v>153</v>
      </c>
      <c r="R439" s="27" t="s">
        <v>154</v>
      </c>
      <c r="S439" s="27" t="n">
        <v>29</v>
      </c>
      <c r="T439" s="27"/>
    </row>
    <row r="440" customFormat="false" ht="15" hidden="false" customHeight="false" outlineLevel="0" collapsed="false">
      <c r="A440" s="26" t="n">
        <v>46090</v>
      </c>
      <c r="B440" s="27" t="n">
        <v>2026</v>
      </c>
      <c r="C440" s="27" t="n">
        <v>3</v>
      </c>
      <c r="D440" s="27" t="s">
        <v>82</v>
      </c>
      <c r="E440" s="27" t="s">
        <v>92</v>
      </c>
      <c r="F440" s="27" t="s">
        <v>105</v>
      </c>
      <c r="G440" s="27" t="s">
        <v>117</v>
      </c>
      <c r="H440" s="28" t="n">
        <v>2</v>
      </c>
      <c r="I440" s="29" t="n">
        <v>1450</v>
      </c>
      <c r="J440" s="29" t="n">
        <v>2900</v>
      </c>
      <c r="K440" s="29" t="n">
        <f aca="false">H440*I440</f>
        <v>2900</v>
      </c>
      <c r="L440" s="29" t="n">
        <f aca="false">IFERROR(INDEX(Cat_Productos!$B$2:$B$6,MATCH(G440,Cat_Productos!$A$2:$A$6,0)),"")</f>
        <v>780</v>
      </c>
      <c r="M440" s="29" t="n">
        <f aca="false">IF(L440="","",H440*L440)</f>
        <v>1560</v>
      </c>
      <c r="N440" s="29" t="n">
        <f aca="false">IF(M440="","",J440-M440)</f>
        <v>1340</v>
      </c>
      <c r="O440" s="30" t="n">
        <f aca="false">IFERROR(N440/J440,0)</f>
        <v>0.462068965517241</v>
      </c>
      <c r="P440" s="27"/>
      <c r="Q440" s="27" t="s">
        <v>153</v>
      </c>
      <c r="R440" s="27" t="s">
        <v>154</v>
      </c>
      <c r="S440" s="27" t="n">
        <v>27</v>
      </c>
      <c r="T440" s="27"/>
    </row>
    <row r="441" customFormat="false" ht="15" hidden="false" customHeight="false" outlineLevel="0" collapsed="false">
      <c r="A441" s="26" t="n">
        <v>46090</v>
      </c>
      <c r="B441" s="27" t="n">
        <v>2026</v>
      </c>
      <c r="C441" s="27" t="n">
        <v>3</v>
      </c>
      <c r="D441" s="27" t="s">
        <v>82</v>
      </c>
      <c r="E441" s="27" t="s">
        <v>91</v>
      </c>
      <c r="F441" s="27" t="s">
        <v>107</v>
      </c>
      <c r="G441" s="27" t="s">
        <v>116</v>
      </c>
      <c r="H441" s="28" t="n">
        <v>6</v>
      </c>
      <c r="I441" s="29" t="n">
        <v>620</v>
      </c>
      <c r="J441" s="29" t="n">
        <v>3720</v>
      </c>
      <c r="K441" s="29" t="n">
        <f aca="false">H441*I441</f>
        <v>3720</v>
      </c>
      <c r="L441" s="29" t="n">
        <f aca="false">IFERROR(INDEX(Cat_Productos!$B$2:$B$6,MATCH(G441,Cat_Productos!$A$2:$A$6,0)),"")</f>
        <v>290</v>
      </c>
      <c r="M441" s="29" t="n">
        <f aca="false">IF(L441="","",H441*L441)</f>
        <v>1740</v>
      </c>
      <c r="N441" s="29" t="n">
        <f aca="false">IF(M441="","",J441-M441)</f>
        <v>1980</v>
      </c>
      <c r="O441" s="30" t="n">
        <f aca="false">IFERROR(N441/J441,0)</f>
        <v>0.532258064516129</v>
      </c>
      <c r="P441" s="27"/>
      <c r="Q441" s="27" t="s">
        <v>153</v>
      </c>
      <c r="R441" s="27" t="s">
        <v>154</v>
      </c>
      <c r="S441" s="27" t="n">
        <v>129</v>
      </c>
      <c r="T441" s="27"/>
    </row>
    <row r="442" customFormat="false" ht="15" hidden="false" customHeight="false" outlineLevel="0" collapsed="false">
      <c r="A442" s="26" t="n">
        <v>46090</v>
      </c>
      <c r="B442" s="27" t="n">
        <v>2026</v>
      </c>
      <c r="C442" s="27" t="n">
        <v>3</v>
      </c>
      <c r="D442" s="27" t="s">
        <v>82</v>
      </c>
      <c r="E442" s="27" t="s">
        <v>92</v>
      </c>
      <c r="F442" s="27" t="s">
        <v>105</v>
      </c>
      <c r="G442" s="27" t="s">
        <v>116</v>
      </c>
      <c r="H442" s="28" t="n">
        <v>2</v>
      </c>
      <c r="I442" s="29" t="n">
        <v>620</v>
      </c>
      <c r="J442" s="29" t="n">
        <v>1240</v>
      </c>
      <c r="K442" s="29" t="n">
        <f aca="false">H442*I442</f>
        <v>1240</v>
      </c>
      <c r="L442" s="29" t="n">
        <f aca="false">IFERROR(INDEX(Cat_Productos!$B$2:$B$6,MATCH(G442,Cat_Productos!$A$2:$A$6,0)),"")</f>
        <v>290</v>
      </c>
      <c r="M442" s="29" t="n">
        <f aca="false">IF(L442="","",H442*L442)</f>
        <v>580</v>
      </c>
      <c r="N442" s="29" t="n">
        <f aca="false">IF(M442="","",J442-M442)</f>
        <v>660</v>
      </c>
      <c r="O442" s="30" t="n">
        <f aca="false">IFERROR(N442/J442,0)</f>
        <v>0.532258064516129</v>
      </c>
      <c r="P442" s="27"/>
      <c r="Q442" s="27" t="s">
        <v>153</v>
      </c>
      <c r="R442" s="27" t="s">
        <v>154</v>
      </c>
      <c r="S442" s="27" t="n">
        <v>35</v>
      </c>
      <c r="T442" s="27"/>
    </row>
    <row r="443" customFormat="false" ht="15" hidden="false" customHeight="false" outlineLevel="0" collapsed="false">
      <c r="A443" s="26" t="n">
        <v>46092</v>
      </c>
      <c r="B443" s="27" t="n">
        <v>2026</v>
      </c>
      <c r="C443" s="27" t="n">
        <v>3</v>
      </c>
      <c r="D443" s="27" t="s">
        <v>82</v>
      </c>
      <c r="E443" s="27" t="s">
        <v>91</v>
      </c>
      <c r="F443" s="27" t="s">
        <v>103</v>
      </c>
      <c r="G443" s="27" t="s">
        <v>117</v>
      </c>
      <c r="H443" s="28" t="n">
        <v>2</v>
      </c>
      <c r="I443" s="29" t="n">
        <v>1450</v>
      </c>
      <c r="J443" s="29" t="n">
        <v>2900</v>
      </c>
      <c r="K443" s="29" t="n">
        <f aca="false">H443*I443</f>
        <v>2900</v>
      </c>
      <c r="L443" s="29" t="n">
        <f aca="false">IFERROR(INDEX(Cat_Productos!$B$2:$B$6,MATCH(G443,Cat_Productos!$A$2:$A$6,0)),"")</f>
        <v>780</v>
      </c>
      <c r="M443" s="29" t="n">
        <f aca="false">IF(L443="","",H443*L443)</f>
        <v>1560</v>
      </c>
      <c r="N443" s="29" t="n">
        <f aca="false">IF(M443="","",J443-M443)</f>
        <v>1340</v>
      </c>
      <c r="O443" s="30" t="n">
        <f aca="false">IFERROR(N443/J443,0)</f>
        <v>0.462068965517241</v>
      </c>
      <c r="P443" s="27"/>
      <c r="Q443" s="27" t="s">
        <v>153</v>
      </c>
      <c r="R443" s="27" t="s">
        <v>154</v>
      </c>
      <c r="S443" s="27" t="n">
        <v>144</v>
      </c>
      <c r="T443" s="27"/>
    </row>
    <row r="444" customFormat="false" ht="15" hidden="false" customHeight="false" outlineLevel="0" collapsed="false">
      <c r="A444" s="26" t="n">
        <v>46092</v>
      </c>
      <c r="B444" s="27" t="n">
        <v>2026</v>
      </c>
      <c r="C444" s="27" t="n">
        <v>3</v>
      </c>
      <c r="D444" s="27" t="s">
        <v>82</v>
      </c>
      <c r="E444" s="27" t="s">
        <v>91</v>
      </c>
      <c r="F444" s="27" t="s">
        <v>103</v>
      </c>
      <c r="G444" s="27" t="s">
        <v>114</v>
      </c>
      <c r="H444" s="28" t="n">
        <v>6</v>
      </c>
      <c r="I444" s="29" t="n">
        <v>24500</v>
      </c>
      <c r="J444" s="29" t="n">
        <v>147000</v>
      </c>
      <c r="K444" s="29" t="n">
        <f aca="false">H444*I444</f>
        <v>147000</v>
      </c>
      <c r="L444" s="29" t="n">
        <f aca="false">IFERROR(INDEX(Cat_Productos!$B$2:$B$6,MATCH(G444,Cat_Productos!$A$2:$A$6,0)),"")</f>
        <v>19200</v>
      </c>
      <c r="M444" s="29" t="n">
        <f aca="false">IF(L444="","",H444*L444)</f>
        <v>115200</v>
      </c>
      <c r="N444" s="29" t="n">
        <f aca="false">IF(M444="","",J444-M444)</f>
        <v>31800</v>
      </c>
      <c r="O444" s="30" t="n">
        <f aca="false">IFERROR(N444/J444,0)</f>
        <v>0.216326530612245</v>
      </c>
      <c r="P444" s="27"/>
      <c r="Q444" s="27" t="s">
        <v>153</v>
      </c>
      <c r="R444" s="27" t="s">
        <v>154</v>
      </c>
      <c r="S444" s="27" t="n">
        <v>136</v>
      </c>
      <c r="T444" s="27"/>
    </row>
    <row r="445" customFormat="false" ht="15" hidden="false" customHeight="false" outlineLevel="0" collapsed="false">
      <c r="A445" s="26" t="n">
        <v>46092</v>
      </c>
      <c r="B445" s="27" t="n">
        <v>2026</v>
      </c>
      <c r="C445" s="27" t="n">
        <v>3</v>
      </c>
      <c r="D445" s="27" t="s">
        <v>82</v>
      </c>
      <c r="E445" s="27" t="s">
        <v>93</v>
      </c>
      <c r="F445" s="27" t="s">
        <v>108</v>
      </c>
      <c r="G445" s="27" t="s">
        <v>116</v>
      </c>
      <c r="H445" s="28" t="n">
        <v>5</v>
      </c>
      <c r="I445" s="29" t="n">
        <v>620</v>
      </c>
      <c r="J445" s="29" t="n">
        <v>3100</v>
      </c>
      <c r="K445" s="29" t="n">
        <f aca="false">H445*I445</f>
        <v>3100</v>
      </c>
      <c r="L445" s="29" t="n">
        <f aca="false">IFERROR(INDEX(Cat_Productos!$B$2:$B$6,MATCH(G445,Cat_Productos!$A$2:$A$6,0)),"")</f>
        <v>290</v>
      </c>
      <c r="M445" s="29" t="n">
        <f aca="false">IF(L445="","",H445*L445)</f>
        <v>1450</v>
      </c>
      <c r="N445" s="29" t="n">
        <f aca="false">IF(M445="","",J445-M445)</f>
        <v>1650</v>
      </c>
      <c r="O445" s="30" t="n">
        <f aca="false">IFERROR(N445/J445,0)</f>
        <v>0.532258064516129</v>
      </c>
      <c r="P445" s="27"/>
      <c r="Q445" s="27" t="s">
        <v>153</v>
      </c>
      <c r="R445" s="27" t="s">
        <v>154</v>
      </c>
      <c r="S445" s="27" t="n">
        <v>97</v>
      </c>
      <c r="T445" s="27"/>
    </row>
    <row r="446" customFormat="false" ht="15" hidden="false" customHeight="false" outlineLevel="0" collapsed="false">
      <c r="A446" s="26" t="n">
        <v>46092</v>
      </c>
      <c r="B446" s="27" t="n">
        <v>2026</v>
      </c>
      <c r="C446" s="27" t="n">
        <v>3</v>
      </c>
      <c r="D446" s="27" t="s">
        <v>82</v>
      </c>
      <c r="E446" s="27" t="s">
        <v>91</v>
      </c>
      <c r="F446" s="27" t="s">
        <v>103</v>
      </c>
      <c r="G446" s="27" t="s">
        <v>116</v>
      </c>
      <c r="H446" s="28" t="n">
        <v>6</v>
      </c>
      <c r="I446" s="29" t="n">
        <v>620</v>
      </c>
      <c r="J446" s="29" t="n">
        <v>3720</v>
      </c>
      <c r="K446" s="29" t="n">
        <f aca="false">H446*I446</f>
        <v>3720</v>
      </c>
      <c r="L446" s="29" t="n">
        <f aca="false">IFERROR(INDEX(Cat_Productos!$B$2:$B$6,MATCH(G446,Cat_Productos!$A$2:$A$6,0)),"")</f>
        <v>290</v>
      </c>
      <c r="M446" s="29" t="n">
        <f aca="false">IF(L446="","",H446*L446)</f>
        <v>1740</v>
      </c>
      <c r="N446" s="29" t="n">
        <f aca="false">IF(M446="","",J446-M446)</f>
        <v>1980</v>
      </c>
      <c r="O446" s="30" t="n">
        <f aca="false">IFERROR(N446/J446,0)</f>
        <v>0.532258064516129</v>
      </c>
      <c r="P446" s="27"/>
      <c r="Q446" s="27" t="s">
        <v>153</v>
      </c>
      <c r="R446" s="27" t="s">
        <v>154</v>
      </c>
      <c r="S446" s="27" t="n">
        <v>180</v>
      </c>
      <c r="T446" s="27"/>
    </row>
    <row r="447" customFormat="false" ht="15" hidden="false" customHeight="false" outlineLevel="0" collapsed="false">
      <c r="A447" s="26" t="n">
        <v>46092</v>
      </c>
      <c r="B447" s="27" t="n">
        <v>2026</v>
      </c>
      <c r="C447" s="27" t="n">
        <v>3</v>
      </c>
      <c r="D447" s="27" t="s">
        <v>82</v>
      </c>
      <c r="E447" s="27" t="s">
        <v>91</v>
      </c>
      <c r="F447" s="27" t="s">
        <v>103</v>
      </c>
      <c r="G447" s="27" t="s">
        <v>117</v>
      </c>
      <c r="H447" s="28" t="n">
        <v>6</v>
      </c>
      <c r="I447" s="29" t="n">
        <v>1450</v>
      </c>
      <c r="J447" s="29" t="n">
        <v>8700</v>
      </c>
      <c r="K447" s="29" t="n">
        <f aca="false">H447*I447</f>
        <v>8700</v>
      </c>
      <c r="L447" s="29" t="n">
        <f aca="false">IFERROR(INDEX(Cat_Productos!$B$2:$B$6,MATCH(G447,Cat_Productos!$A$2:$A$6,0)),"")</f>
        <v>780</v>
      </c>
      <c r="M447" s="29" t="n">
        <f aca="false">IF(L447="","",H447*L447)</f>
        <v>4680</v>
      </c>
      <c r="N447" s="29" t="n">
        <f aca="false">IF(M447="","",J447-M447)</f>
        <v>4020</v>
      </c>
      <c r="O447" s="30" t="n">
        <f aca="false">IFERROR(N447/J447,0)</f>
        <v>0.462068965517241</v>
      </c>
      <c r="P447" s="27"/>
      <c r="Q447" s="27" t="s">
        <v>153</v>
      </c>
      <c r="R447" s="27" t="s">
        <v>154</v>
      </c>
      <c r="S447" s="27" t="n">
        <v>146</v>
      </c>
      <c r="T447" s="27"/>
    </row>
    <row r="448" customFormat="false" ht="15" hidden="false" customHeight="false" outlineLevel="0" collapsed="false">
      <c r="A448" s="26" t="n">
        <v>46092</v>
      </c>
      <c r="B448" s="27" t="n">
        <v>2026</v>
      </c>
      <c r="C448" s="27" t="n">
        <v>3</v>
      </c>
      <c r="D448" s="27" t="s">
        <v>82</v>
      </c>
      <c r="E448" s="27" t="s">
        <v>91</v>
      </c>
      <c r="F448" s="27" t="s">
        <v>103</v>
      </c>
      <c r="G448" s="27" t="s">
        <v>116</v>
      </c>
      <c r="H448" s="28" t="n">
        <v>2</v>
      </c>
      <c r="I448" s="29" t="n">
        <v>620</v>
      </c>
      <c r="J448" s="29" t="n">
        <v>1240</v>
      </c>
      <c r="K448" s="29" t="n">
        <f aca="false">H448*I448</f>
        <v>1240</v>
      </c>
      <c r="L448" s="29" t="n">
        <f aca="false">IFERROR(INDEX(Cat_Productos!$B$2:$B$6,MATCH(G448,Cat_Productos!$A$2:$A$6,0)),"")</f>
        <v>290</v>
      </c>
      <c r="M448" s="29" t="n">
        <f aca="false">IF(L448="","",H448*L448)</f>
        <v>580</v>
      </c>
      <c r="N448" s="29" t="n">
        <f aca="false">IF(M448="","",J448-M448)</f>
        <v>660</v>
      </c>
      <c r="O448" s="30" t="n">
        <f aca="false">IFERROR(N448/J448,0)</f>
        <v>0.532258064516129</v>
      </c>
      <c r="P448" s="27"/>
      <c r="Q448" s="27" t="s">
        <v>153</v>
      </c>
      <c r="R448" s="27" t="s">
        <v>154</v>
      </c>
      <c r="S448" s="27" t="n">
        <v>168</v>
      </c>
      <c r="T448" s="27"/>
    </row>
    <row r="449" customFormat="false" ht="15" hidden="false" customHeight="false" outlineLevel="0" collapsed="false">
      <c r="A449" s="26" t="n">
        <v>46092</v>
      </c>
      <c r="B449" s="27" t="n">
        <v>2026</v>
      </c>
      <c r="C449" s="27" t="n">
        <v>3</v>
      </c>
      <c r="D449" s="27" t="s">
        <v>82</v>
      </c>
      <c r="E449" s="27" t="s">
        <v>93</v>
      </c>
      <c r="F449" s="27" t="s">
        <v>104</v>
      </c>
      <c r="G449" s="27" t="s">
        <v>116</v>
      </c>
      <c r="H449" s="28" t="n">
        <v>6</v>
      </c>
      <c r="I449" s="29" t="n">
        <v>620</v>
      </c>
      <c r="J449" s="29" t="n">
        <v>3720</v>
      </c>
      <c r="K449" s="29" t="n">
        <f aca="false">H449*I449</f>
        <v>3720</v>
      </c>
      <c r="L449" s="29" t="n">
        <f aca="false">IFERROR(INDEX(Cat_Productos!$B$2:$B$6,MATCH(G449,Cat_Productos!$A$2:$A$6,0)),"")</f>
        <v>290</v>
      </c>
      <c r="M449" s="29" t="n">
        <f aca="false">IF(L449="","",H449*L449)</f>
        <v>1740</v>
      </c>
      <c r="N449" s="29" t="n">
        <f aca="false">IF(M449="","",J449-M449)</f>
        <v>1980</v>
      </c>
      <c r="O449" s="30" t="n">
        <f aca="false">IFERROR(N449/J449,0)</f>
        <v>0.532258064516129</v>
      </c>
      <c r="P449" s="27"/>
      <c r="Q449" s="27" t="s">
        <v>153</v>
      </c>
      <c r="R449" s="27" t="s">
        <v>154</v>
      </c>
      <c r="S449" s="27" t="n">
        <v>222</v>
      </c>
      <c r="T449" s="27"/>
    </row>
    <row r="450" customFormat="false" ht="15" hidden="false" customHeight="false" outlineLevel="0" collapsed="false">
      <c r="A450" s="26" t="n">
        <v>46092</v>
      </c>
      <c r="B450" s="27" t="n">
        <v>2026</v>
      </c>
      <c r="C450" s="27" t="n">
        <v>3</v>
      </c>
      <c r="D450" s="27" t="s">
        <v>82</v>
      </c>
      <c r="E450" s="27" t="s">
        <v>92</v>
      </c>
      <c r="F450" s="27" t="s">
        <v>106</v>
      </c>
      <c r="G450" s="27" t="s">
        <v>116</v>
      </c>
      <c r="H450" s="28" t="n">
        <v>2</v>
      </c>
      <c r="I450" s="29" t="n">
        <v>620</v>
      </c>
      <c r="J450" s="29" t="n">
        <v>1240</v>
      </c>
      <c r="K450" s="29" t="n">
        <f aca="false">H450*I450</f>
        <v>1240</v>
      </c>
      <c r="L450" s="29" t="n">
        <f aca="false">IFERROR(INDEX(Cat_Productos!$B$2:$B$6,MATCH(G450,Cat_Productos!$A$2:$A$6,0)),"")</f>
        <v>290</v>
      </c>
      <c r="M450" s="29" t="n">
        <f aca="false">IF(L450="","",H450*L450)</f>
        <v>580</v>
      </c>
      <c r="N450" s="29" t="n">
        <f aca="false">IF(M450="","",J450-M450)</f>
        <v>660</v>
      </c>
      <c r="O450" s="30" t="n">
        <f aca="false">IFERROR(N450/J450,0)</f>
        <v>0.532258064516129</v>
      </c>
      <c r="P450" s="27"/>
      <c r="Q450" s="27" t="s">
        <v>153</v>
      </c>
      <c r="R450" s="27" t="s">
        <v>154</v>
      </c>
      <c r="S450" s="27" t="n">
        <v>205</v>
      </c>
      <c r="T450" s="27"/>
    </row>
    <row r="451" customFormat="false" ht="15" hidden="false" customHeight="false" outlineLevel="0" collapsed="false">
      <c r="A451" s="26" t="n">
        <v>46092</v>
      </c>
      <c r="B451" s="27" t="n">
        <v>2026</v>
      </c>
      <c r="C451" s="27" t="n">
        <v>3</v>
      </c>
      <c r="D451" s="27" t="s">
        <v>82</v>
      </c>
      <c r="E451" s="27" t="s">
        <v>93</v>
      </c>
      <c r="F451" s="27" t="s">
        <v>108</v>
      </c>
      <c r="G451" s="27" t="s">
        <v>116</v>
      </c>
      <c r="H451" s="28" t="n">
        <v>6</v>
      </c>
      <c r="I451" s="29" t="n">
        <v>620</v>
      </c>
      <c r="J451" s="29" t="n">
        <v>3720</v>
      </c>
      <c r="K451" s="29" t="n">
        <f aca="false">H451*I451</f>
        <v>3720</v>
      </c>
      <c r="L451" s="29" t="n">
        <f aca="false">IFERROR(INDEX(Cat_Productos!$B$2:$B$6,MATCH(G451,Cat_Productos!$A$2:$A$6,0)),"")</f>
        <v>290</v>
      </c>
      <c r="M451" s="29" t="n">
        <f aca="false">IF(L451="","",H451*L451)</f>
        <v>1740</v>
      </c>
      <c r="N451" s="29" t="n">
        <f aca="false">IF(M451="","",J451-M451)</f>
        <v>1980</v>
      </c>
      <c r="O451" s="30" t="n">
        <f aca="false">IFERROR(N451/J451,0)</f>
        <v>0.532258064516129</v>
      </c>
      <c r="P451" s="27"/>
      <c r="Q451" s="27" t="s">
        <v>153</v>
      </c>
      <c r="R451" s="27" t="s">
        <v>154</v>
      </c>
      <c r="S451" s="27" t="n">
        <v>85</v>
      </c>
      <c r="T451" s="27"/>
    </row>
    <row r="452" customFormat="false" ht="15" hidden="false" customHeight="false" outlineLevel="0" collapsed="false">
      <c r="A452" s="26" t="n">
        <v>46092</v>
      </c>
      <c r="B452" s="27" t="n">
        <v>2026</v>
      </c>
      <c r="C452" s="27" t="n">
        <v>3</v>
      </c>
      <c r="D452" s="27" t="s">
        <v>82</v>
      </c>
      <c r="E452" s="27" t="s">
        <v>93</v>
      </c>
      <c r="F452" s="27" t="s">
        <v>108</v>
      </c>
      <c r="G452" s="27" t="s">
        <v>117</v>
      </c>
      <c r="H452" s="28" t="n">
        <v>4</v>
      </c>
      <c r="I452" s="29" t="n">
        <v>1450</v>
      </c>
      <c r="J452" s="29" t="n">
        <v>5800</v>
      </c>
      <c r="K452" s="29" t="n">
        <f aca="false">H452*I452</f>
        <v>5800</v>
      </c>
      <c r="L452" s="29" t="n">
        <f aca="false">IFERROR(INDEX(Cat_Productos!$B$2:$B$6,MATCH(G452,Cat_Productos!$A$2:$A$6,0)),"")</f>
        <v>780</v>
      </c>
      <c r="M452" s="29" t="n">
        <f aca="false">IF(L452="","",H452*L452)</f>
        <v>3120</v>
      </c>
      <c r="N452" s="29" t="n">
        <f aca="false">IF(M452="","",J452-M452)</f>
        <v>2680</v>
      </c>
      <c r="O452" s="30" t="n">
        <f aca="false">IFERROR(N452/J452,0)</f>
        <v>0.462068965517241</v>
      </c>
      <c r="P452" s="27"/>
      <c r="Q452" s="27" t="s">
        <v>153</v>
      </c>
      <c r="R452" s="27" t="s">
        <v>154</v>
      </c>
      <c r="S452" s="27" t="n">
        <v>73</v>
      </c>
      <c r="T452" s="27"/>
    </row>
    <row r="453" customFormat="false" ht="15" hidden="false" customHeight="false" outlineLevel="0" collapsed="false">
      <c r="A453" s="26" t="n">
        <v>46092</v>
      </c>
      <c r="B453" s="27" t="n">
        <v>2026</v>
      </c>
      <c r="C453" s="27" t="n">
        <v>3</v>
      </c>
      <c r="D453" s="27" t="s">
        <v>82</v>
      </c>
      <c r="E453" s="27" t="s">
        <v>93</v>
      </c>
      <c r="F453" s="27" t="s">
        <v>108</v>
      </c>
      <c r="G453" s="27" t="s">
        <v>117</v>
      </c>
      <c r="H453" s="28" t="n">
        <v>2</v>
      </c>
      <c r="I453" s="29" t="n">
        <v>1450</v>
      </c>
      <c r="J453" s="29" t="n">
        <v>2900</v>
      </c>
      <c r="K453" s="29" t="n">
        <f aca="false">H453*I453</f>
        <v>2900</v>
      </c>
      <c r="L453" s="29" t="n">
        <f aca="false">IFERROR(INDEX(Cat_Productos!$B$2:$B$6,MATCH(G453,Cat_Productos!$A$2:$A$6,0)),"")</f>
        <v>780</v>
      </c>
      <c r="M453" s="29" t="n">
        <f aca="false">IF(L453="","",H453*L453)</f>
        <v>1560</v>
      </c>
      <c r="N453" s="29" t="n">
        <f aca="false">IF(M453="","",J453-M453)</f>
        <v>1340</v>
      </c>
      <c r="O453" s="30" t="n">
        <f aca="false">IFERROR(N453/J453,0)</f>
        <v>0.462068965517241</v>
      </c>
      <c r="P453" s="27"/>
      <c r="Q453" s="27" t="s">
        <v>153</v>
      </c>
      <c r="R453" s="27" t="s">
        <v>154</v>
      </c>
      <c r="S453" s="27" t="n">
        <v>77</v>
      </c>
      <c r="T453" s="27"/>
    </row>
    <row r="454" customFormat="false" ht="15" hidden="false" customHeight="false" outlineLevel="0" collapsed="false">
      <c r="A454" s="26" t="n">
        <v>46092</v>
      </c>
      <c r="B454" s="27" t="n">
        <v>2026</v>
      </c>
      <c r="C454" s="27" t="n">
        <v>3</v>
      </c>
      <c r="D454" s="27" t="s">
        <v>82</v>
      </c>
      <c r="E454" s="27" t="s">
        <v>91</v>
      </c>
      <c r="F454" s="27" t="s">
        <v>103</v>
      </c>
      <c r="G454" s="27" t="s">
        <v>116</v>
      </c>
      <c r="H454" s="28" t="n">
        <v>6</v>
      </c>
      <c r="I454" s="29" t="n">
        <v>620</v>
      </c>
      <c r="J454" s="29" t="n">
        <v>3720</v>
      </c>
      <c r="K454" s="29" t="n">
        <f aca="false">H454*I454</f>
        <v>3720</v>
      </c>
      <c r="L454" s="29" t="n">
        <f aca="false">IFERROR(INDEX(Cat_Productos!$B$2:$B$6,MATCH(G454,Cat_Productos!$A$2:$A$6,0)),"")</f>
        <v>290</v>
      </c>
      <c r="M454" s="29" t="n">
        <f aca="false">IF(L454="","",H454*L454)</f>
        <v>1740</v>
      </c>
      <c r="N454" s="29" t="n">
        <f aca="false">IF(M454="","",J454-M454)</f>
        <v>1980</v>
      </c>
      <c r="O454" s="30" t="n">
        <f aca="false">IFERROR(N454/J454,0)</f>
        <v>0.532258064516129</v>
      </c>
      <c r="P454" s="27"/>
      <c r="Q454" s="27" t="s">
        <v>153</v>
      </c>
      <c r="R454" s="27" t="s">
        <v>154</v>
      </c>
      <c r="S454" s="27" t="n">
        <v>186</v>
      </c>
      <c r="T454" s="27"/>
    </row>
    <row r="455" customFormat="false" ht="15" hidden="false" customHeight="false" outlineLevel="0" collapsed="false">
      <c r="A455" s="26" t="n">
        <v>46094</v>
      </c>
      <c r="B455" s="27" t="n">
        <v>2026</v>
      </c>
      <c r="C455" s="27" t="n">
        <v>3</v>
      </c>
      <c r="D455" s="27" t="s">
        <v>82</v>
      </c>
      <c r="E455" s="27" t="s">
        <v>91</v>
      </c>
      <c r="F455" s="27" t="s">
        <v>103</v>
      </c>
      <c r="G455" s="27" t="s">
        <v>114</v>
      </c>
      <c r="H455" s="28" t="n">
        <v>4</v>
      </c>
      <c r="I455" s="29" t="n">
        <v>24500</v>
      </c>
      <c r="J455" s="29" t="n">
        <v>98000</v>
      </c>
      <c r="K455" s="29" t="n">
        <f aca="false">H455*I455</f>
        <v>98000</v>
      </c>
      <c r="L455" s="29" t="n">
        <f aca="false">IFERROR(INDEX(Cat_Productos!$B$2:$B$6,MATCH(G455,Cat_Productos!$A$2:$A$6,0)),"")</f>
        <v>19200</v>
      </c>
      <c r="M455" s="29" t="n">
        <f aca="false">IF(L455="","",H455*L455)</f>
        <v>76800</v>
      </c>
      <c r="N455" s="29" t="n">
        <f aca="false">IF(M455="","",J455-M455)</f>
        <v>21200</v>
      </c>
      <c r="O455" s="30" t="n">
        <f aca="false">IFERROR(N455/J455,0)</f>
        <v>0.216326530612245</v>
      </c>
      <c r="P455" s="27"/>
      <c r="Q455" s="27" t="s">
        <v>153</v>
      </c>
      <c r="R455" s="27" t="s">
        <v>154</v>
      </c>
      <c r="S455" s="27" t="n">
        <v>137</v>
      </c>
      <c r="T455" s="27"/>
    </row>
    <row r="456" customFormat="false" ht="15" hidden="false" customHeight="false" outlineLevel="0" collapsed="false">
      <c r="A456" s="26" t="n">
        <v>46094</v>
      </c>
      <c r="B456" s="27" t="n">
        <v>2026</v>
      </c>
      <c r="C456" s="27" t="n">
        <v>3</v>
      </c>
      <c r="D456" s="27" t="s">
        <v>82</v>
      </c>
      <c r="E456" s="27" t="s">
        <v>91</v>
      </c>
      <c r="F456" s="27" t="s">
        <v>103</v>
      </c>
      <c r="G456" s="27" t="s">
        <v>117</v>
      </c>
      <c r="H456" s="28" t="n">
        <v>2</v>
      </c>
      <c r="I456" s="29" t="n">
        <v>1450</v>
      </c>
      <c r="J456" s="29" t="n">
        <v>2900</v>
      </c>
      <c r="K456" s="29" t="n">
        <f aca="false">H456*I456</f>
        <v>2900</v>
      </c>
      <c r="L456" s="29" t="n">
        <f aca="false">IFERROR(INDEX(Cat_Productos!$B$2:$B$6,MATCH(G456,Cat_Productos!$A$2:$A$6,0)),"")</f>
        <v>780</v>
      </c>
      <c r="M456" s="29" t="n">
        <f aca="false">IF(L456="","",H456*L456)</f>
        <v>1560</v>
      </c>
      <c r="N456" s="29" t="n">
        <f aca="false">IF(M456="","",J456-M456)</f>
        <v>1340</v>
      </c>
      <c r="O456" s="30" t="n">
        <f aca="false">IFERROR(N456/J456,0)</f>
        <v>0.462068965517241</v>
      </c>
      <c r="P456" s="27"/>
      <c r="Q456" s="27" t="s">
        <v>153</v>
      </c>
      <c r="R456" s="27" t="s">
        <v>154</v>
      </c>
      <c r="S456" s="27" t="n">
        <v>159</v>
      </c>
      <c r="T456" s="27"/>
    </row>
    <row r="457" customFormat="false" ht="15" hidden="false" customHeight="false" outlineLevel="0" collapsed="false">
      <c r="A457" s="26" t="n">
        <v>46094</v>
      </c>
      <c r="B457" s="27" t="n">
        <v>2026</v>
      </c>
      <c r="C457" s="27" t="n">
        <v>3</v>
      </c>
      <c r="D457" s="27" t="s">
        <v>82</v>
      </c>
      <c r="E457" s="27" t="s">
        <v>92</v>
      </c>
      <c r="F457" s="27" t="s">
        <v>105</v>
      </c>
      <c r="G457" s="27" t="s">
        <v>116</v>
      </c>
      <c r="H457" s="28" t="n">
        <v>6</v>
      </c>
      <c r="I457" s="29" t="n">
        <v>620</v>
      </c>
      <c r="J457" s="29" t="n">
        <v>3720</v>
      </c>
      <c r="K457" s="29" t="n">
        <f aca="false">H457*I457</f>
        <v>3720</v>
      </c>
      <c r="L457" s="29" t="n">
        <f aca="false">IFERROR(INDEX(Cat_Productos!$B$2:$B$6,MATCH(G457,Cat_Productos!$A$2:$A$6,0)),"")</f>
        <v>290</v>
      </c>
      <c r="M457" s="29" t="n">
        <f aca="false">IF(L457="","",H457*L457)</f>
        <v>1740</v>
      </c>
      <c r="N457" s="29" t="n">
        <f aca="false">IF(M457="","",J457-M457)</f>
        <v>1980</v>
      </c>
      <c r="O457" s="30" t="n">
        <f aca="false">IFERROR(N457/J457,0)</f>
        <v>0.532258064516129</v>
      </c>
      <c r="P457" s="27"/>
      <c r="Q457" s="27" t="s">
        <v>153</v>
      </c>
      <c r="R457" s="27" t="s">
        <v>154</v>
      </c>
      <c r="S457" s="27" t="n">
        <v>57</v>
      </c>
      <c r="T457" s="27"/>
    </row>
    <row r="458" customFormat="false" ht="15" hidden="false" customHeight="false" outlineLevel="0" collapsed="false">
      <c r="A458" s="26" t="n">
        <v>46094</v>
      </c>
      <c r="B458" s="27" t="n">
        <v>2026</v>
      </c>
      <c r="C458" s="27" t="n">
        <v>3</v>
      </c>
      <c r="D458" s="27" t="s">
        <v>82</v>
      </c>
      <c r="E458" s="27" t="s">
        <v>93</v>
      </c>
      <c r="F458" s="27" t="s">
        <v>108</v>
      </c>
      <c r="G458" s="27" t="s">
        <v>117</v>
      </c>
      <c r="H458" s="28" t="n">
        <v>4</v>
      </c>
      <c r="I458" s="29" t="n">
        <v>1450</v>
      </c>
      <c r="J458" s="29" t="n">
        <v>5800</v>
      </c>
      <c r="K458" s="29" t="n">
        <f aca="false">H458*I458</f>
        <v>5800</v>
      </c>
      <c r="L458" s="29" t="n">
        <f aca="false">IFERROR(INDEX(Cat_Productos!$B$2:$B$6,MATCH(G458,Cat_Productos!$A$2:$A$6,0)),"")</f>
        <v>780</v>
      </c>
      <c r="M458" s="29" t="n">
        <f aca="false">IF(L458="","",H458*L458)</f>
        <v>3120</v>
      </c>
      <c r="N458" s="29" t="n">
        <f aca="false">IF(M458="","",J458-M458)</f>
        <v>2680</v>
      </c>
      <c r="O458" s="30" t="n">
        <f aca="false">IFERROR(N458/J458,0)</f>
        <v>0.462068965517241</v>
      </c>
      <c r="P458" s="27"/>
      <c r="Q458" s="27" t="s">
        <v>153</v>
      </c>
      <c r="R458" s="27" t="s">
        <v>154</v>
      </c>
      <c r="S458" s="27" t="n">
        <v>80</v>
      </c>
      <c r="T458" s="27"/>
    </row>
    <row r="459" customFormat="false" ht="15" hidden="false" customHeight="false" outlineLevel="0" collapsed="false">
      <c r="A459" s="26" t="n">
        <v>46094</v>
      </c>
      <c r="B459" s="27" t="n">
        <v>2026</v>
      </c>
      <c r="C459" s="27" t="n">
        <v>3</v>
      </c>
      <c r="D459" s="27" t="s">
        <v>82</v>
      </c>
      <c r="E459" s="27" t="s">
        <v>91</v>
      </c>
      <c r="F459" s="27" t="s">
        <v>103</v>
      </c>
      <c r="G459" s="27" t="s">
        <v>116</v>
      </c>
      <c r="H459" s="28" t="n">
        <v>2</v>
      </c>
      <c r="I459" s="29" t="n">
        <v>620</v>
      </c>
      <c r="J459" s="29" t="n">
        <v>1240</v>
      </c>
      <c r="K459" s="29" t="n">
        <f aca="false">H459*I459</f>
        <v>1240</v>
      </c>
      <c r="L459" s="29" t="n">
        <f aca="false">IFERROR(INDEX(Cat_Productos!$B$2:$B$6,MATCH(G459,Cat_Productos!$A$2:$A$6,0)),"")</f>
        <v>290</v>
      </c>
      <c r="M459" s="29" t="n">
        <f aca="false">IF(L459="","",H459*L459)</f>
        <v>580</v>
      </c>
      <c r="N459" s="29" t="n">
        <f aca="false">IF(M459="","",J459-M459)</f>
        <v>660</v>
      </c>
      <c r="O459" s="30" t="n">
        <f aca="false">IFERROR(N459/J459,0)</f>
        <v>0.532258064516129</v>
      </c>
      <c r="P459" s="27"/>
      <c r="Q459" s="27" t="s">
        <v>153</v>
      </c>
      <c r="R459" s="27" t="s">
        <v>154</v>
      </c>
      <c r="S459" s="27" t="n">
        <v>171</v>
      </c>
      <c r="T459" s="27"/>
    </row>
    <row r="460" customFormat="false" ht="15" hidden="false" customHeight="false" outlineLevel="0" collapsed="false">
      <c r="A460" s="26" t="n">
        <v>46094</v>
      </c>
      <c r="B460" s="27" t="n">
        <v>2026</v>
      </c>
      <c r="C460" s="27" t="n">
        <v>3</v>
      </c>
      <c r="D460" s="27" t="s">
        <v>82</v>
      </c>
      <c r="E460" s="27" t="s">
        <v>91</v>
      </c>
      <c r="F460" s="27" t="s">
        <v>107</v>
      </c>
      <c r="G460" s="27" t="s">
        <v>117</v>
      </c>
      <c r="H460" s="28" t="n">
        <v>6</v>
      </c>
      <c r="I460" s="29" t="n">
        <v>1450</v>
      </c>
      <c r="J460" s="29" t="n">
        <v>8700</v>
      </c>
      <c r="K460" s="29" t="n">
        <f aca="false">H460*I460</f>
        <v>8700</v>
      </c>
      <c r="L460" s="29" t="n">
        <f aca="false">IFERROR(INDEX(Cat_Productos!$B$2:$B$6,MATCH(G460,Cat_Productos!$A$2:$A$6,0)),"")</f>
        <v>780</v>
      </c>
      <c r="M460" s="29" t="n">
        <f aca="false">IF(L460="","",H460*L460)</f>
        <v>4680</v>
      </c>
      <c r="N460" s="29" t="n">
        <f aca="false">IF(M460="","",J460-M460)</f>
        <v>4020</v>
      </c>
      <c r="O460" s="30" t="n">
        <f aca="false">IFERROR(N460/J460,0)</f>
        <v>0.462068965517241</v>
      </c>
      <c r="P460" s="27"/>
      <c r="Q460" s="27" t="s">
        <v>153</v>
      </c>
      <c r="R460" s="27" t="s">
        <v>154</v>
      </c>
      <c r="S460" s="27" t="n">
        <v>103</v>
      </c>
      <c r="T460" s="27"/>
    </row>
    <row r="461" customFormat="false" ht="15" hidden="false" customHeight="false" outlineLevel="0" collapsed="false">
      <c r="A461" s="26" t="n">
        <v>46094</v>
      </c>
      <c r="B461" s="27" t="n">
        <v>2026</v>
      </c>
      <c r="C461" s="27" t="n">
        <v>3</v>
      </c>
      <c r="D461" s="27" t="s">
        <v>82</v>
      </c>
      <c r="E461" s="27" t="s">
        <v>91</v>
      </c>
      <c r="F461" s="27" t="s">
        <v>107</v>
      </c>
      <c r="G461" s="27" t="s">
        <v>116</v>
      </c>
      <c r="H461" s="28" t="n">
        <v>6</v>
      </c>
      <c r="I461" s="29" t="n">
        <v>620</v>
      </c>
      <c r="J461" s="29" t="n">
        <v>3720</v>
      </c>
      <c r="K461" s="29" t="n">
        <f aca="false">H461*I461</f>
        <v>3720</v>
      </c>
      <c r="L461" s="29" t="n">
        <f aca="false">IFERROR(INDEX(Cat_Productos!$B$2:$B$6,MATCH(G461,Cat_Productos!$A$2:$A$6,0)),"")</f>
        <v>290</v>
      </c>
      <c r="M461" s="29" t="n">
        <f aca="false">IF(L461="","",H461*L461)</f>
        <v>1740</v>
      </c>
      <c r="N461" s="29" t="n">
        <f aca="false">IF(M461="","",J461-M461)</f>
        <v>1980</v>
      </c>
      <c r="O461" s="30" t="n">
        <f aca="false">IFERROR(N461/J461,0)</f>
        <v>0.532258064516129</v>
      </c>
      <c r="P461" s="27"/>
      <c r="Q461" s="27" t="s">
        <v>153</v>
      </c>
      <c r="R461" s="27" t="s">
        <v>154</v>
      </c>
      <c r="S461" s="27" t="n">
        <v>133</v>
      </c>
      <c r="T461" s="27"/>
    </row>
    <row r="462" customFormat="false" ht="15" hidden="false" customHeight="false" outlineLevel="0" collapsed="false">
      <c r="A462" s="26" t="n">
        <v>46094</v>
      </c>
      <c r="B462" s="27" t="n">
        <v>2026</v>
      </c>
      <c r="C462" s="27" t="n">
        <v>3</v>
      </c>
      <c r="D462" s="27" t="s">
        <v>82</v>
      </c>
      <c r="E462" s="27" t="s">
        <v>92</v>
      </c>
      <c r="F462" s="27" t="s">
        <v>106</v>
      </c>
      <c r="G462" s="27" t="s">
        <v>117</v>
      </c>
      <c r="H462" s="28" t="n">
        <v>4</v>
      </c>
      <c r="I462" s="29" t="n">
        <v>1450</v>
      </c>
      <c r="J462" s="29" t="n">
        <v>5800</v>
      </c>
      <c r="K462" s="29" t="n">
        <f aca="false">H462*I462</f>
        <v>5800</v>
      </c>
      <c r="L462" s="29" t="n">
        <f aca="false">IFERROR(INDEX(Cat_Productos!$B$2:$B$6,MATCH(G462,Cat_Productos!$A$2:$A$6,0)),"")</f>
        <v>780</v>
      </c>
      <c r="M462" s="29" t="n">
        <f aca="false">IF(L462="","",H462*L462)</f>
        <v>3120</v>
      </c>
      <c r="N462" s="29" t="n">
        <f aca="false">IF(M462="","",J462-M462)</f>
        <v>2680</v>
      </c>
      <c r="O462" s="30" t="n">
        <f aca="false">IFERROR(N462/J462,0)</f>
        <v>0.462068965517241</v>
      </c>
      <c r="P462" s="27"/>
      <c r="Q462" s="27" t="s">
        <v>153</v>
      </c>
      <c r="R462" s="27" t="s">
        <v>154</v>
      </c>
      <c r="S462" s="27" t="n">
        <v>194</v>
      </c>
      <c r="T462" s="27"/>
    </row>
    <row r="463" customFormat="false" ht="15" hidden="false" customHeight="false" outlineLevel="0" collapsed="false">
      <c r="A463" s="26" t="n">
        <v>46094</v>
      </c>
      <c r="B463" s="27" t="n">
        <v>2026</v>
      </c>
      <c r="C463" s="27" t="n">
        <v>3</v>
      </c>
      <c r="D463" s="27" t="s">
        <v>82</v>
      </c>
      <c r="E463" s="27" t="s">
        <v>93</v>
      </c>
      <c r="F463" s="27" t="s">
        <v>104</v>
      </c>
      <c r="G463" s="27" t="s">
        <v>116</v>
      </c>
      <c r="H463" s="28" t="n">
        <v>4</v>
      </c>
      <c r="I463" s="29" t="n">
        <v>620</v>
      </c>
      <c r="J463" s="29" t="n">
        <v>2480</v>
      </c>
      <c r="K463" s="29" t="n">
        <f aca="false">H463*I463</f>
        <v>2480</v>
      </c>
      <c r="L463" s="29" t="n">
        <f aca="false">IFERROR(INDEX(Cat_Productos!$B$2:$B$6,MATCH(G463,Cat_Productos!$A$2:$A$6,0)),"")</f>
        <v>290</v>
      </c>
      <c r="M463" s="29" t="n">
        <f aca="false">IF(L463="","",H463*L463)</f>
        <v>1160</v>
      </c>
      <c r="N463" s="29" t="n">
        <f aca="false">IF(M463="","",J463-M463)</f>
        <v>1320</v>
      </c>
      <c r="O463" s="30" t="n">
        <f aca="false">IFERROR(N463/J463,0)</f>
        <v>0.532258064516129</v>
      </c>
      <c r="P463" s="27"/>
      <c r="Q463" s="27" t="s">
        <v>153</v>
      </c>
      <c r="R463" s="27" t="s">
        <v>154</v>
      </c>
      <c r="S463" s="27" t="n">
        <v>217</v>
      </c>
      <c r="T463" s="27"/>
    </row>
    <row r="464" customFormat="false" ht="15" hidden="false" customHeight="false" outlineLevel="0" collapsed="false">
      <c r="A464" s="26" t="n">
        <v>46094</v>
      </c>
      <c r="B464" s="27" t="n">
        <v>2026</v>
      </c>
      <c r="C464" s="27" t="n">
        <v>3</v>
      </c>
      <c r="D464" s="27" t="s">
        <v>82</v>
      </c>
      <c r="E464" s="27" t="s">
        <v>92</v>
      </c>
      <c r="F464" s="27" t="s">
        <v>105</v>
      </c>
      <c r="G464" s="27" t="s">
        <v>117</v>
      </c>
      <c r="H464" s="28" t="n">
        <v>4</v>
      </c>
      <c r="I464" s="29" t="n">
        <v>1450</v>
      </c>
      <c r="J464" s="29" t="n">
        <v>5800</v>
      </c>
      <c r="K464" s="29" t="n">
        <f aca="false">H464*I464</f>
        <v>5800</v>
      </c>
      <c r="L464" s="29" t="n">
        <f aca="false">IFERROR(INDEX(Cat_Productos!$B$2:$B$6,MATCH(G464,Cat_Productos!$A$2:$A$6,0)),"")</f>
        <v>780</v>
      </c>
      <c r="M464" s="29" t="n">
        <f aca="false">IF(L464="","",H464*L464)</f>
        <v>3120</v>
      </c>
      <c r="N464" s="29" t="n">
        <f aca="false">IF(M464="","",J464-M464)</f>
        <v>2680</v>
      </c>
      <c r="O464" s="30" t="n">
        <f aca="false">IFERROR(N464/J464,0)</f>
        <v>0.462068965517241</v>
      </c>
      <c r="P464" s="27"/>
      <c r="Q464" s="27" t="s">
        <v>153</v>
      </c>
      <c r="R464" s="27" t="s">
        <v>154</v>
      </c>
      <c r="S464" s="27" t="n">
        <v>19</v>
      </c>
      <c r="T464" s="27"/>
    </row>
    <row r="465" customFormat="false" ht="15" hidden="false" customHeight="false" outlineLevel="0" collapsed="false">
      <c r="A465" s="26" t="n">
        <v>46094</v>
      </c>
      <c r="B465" s="27" t="n">
        <v>2026</v>
      </c>
      <c r="C465" s="27" t="n">
        <v>3</v>
      </c>
      <c r="D465" s="27" t="s">
        <v>82</v>
      </c>
      <c r="E465" s="27" t="s">
        <v>92</v>
      </c>
      <c r="F465" s="27" t="s">
        <v>105</v>
      </c>
      <c r="G465" s="27" t="s">
        <v>117</v>
      </c>
      <c r="H465" s="28" t="n">
        <v>4</v>
      </c>
      <c r="I465" s="29" t="n">
        <v>1450</v>
      </c>
      <c r="J465" s="29" t="n">
        <v>5800</v>
      </c>
      <c r="K465" s="29" t="n">
        <f aca="false">H465*I465</f>
        <v>5800</v>
      </c>
      <c r="L465" s="29" t="n">
        <f aca="false">IFERROR(INDEX(Cat_Productos!$B$2:$B$6,MATCH(G465,Cat_Productos!$A$2:$A$6,0)),"")</f>
        <v>780</v>
      </c>
      <c r="M465" s="29" t="n">
        <f aca="false">IF(L465="","",H465*L465)</f>
        <v>3120</v>
      </c>
      <c r="N465" s="29" t="n">
        <f aca="false">IF(M465="","",J465-M465)</f>
        <v>2680</v>
      </c>
      <c r="O465" s="30" t="n">
        <f aca="false">IFERROR(N465/J465,0)</f>
        <v>0.462068965517241</v>
      </c>
      <c r="P465" s="27"/>
      <c r="Q465" s="27" t="s">
        <v>153</v>
      </c>
      <c r="R465" s="27" t="s">
        <v>154</v>
      </c>
      <c r="S465" s="27" t="n">
        <v>17</v>
      </c>
      <c r="T465" s="27"/>
    </row>
    <row r="466" customFormat="false" ht="15" hidden="false" customHeight="false" outlineLevel="0" collapsed="false">
      <c r="A466" s="26" t="n">
        <v>46094</v>
      </c>
      <c r="B466" s="27" t="n">
        <v>2026</v>
      </c>
      <c r="C466" s="27" t="n">
        <v>3</v>
      </c>
      <c r="D466" s="27" t="s">
        <v>82</v>
      </c>
      <c r="E466" s="27" t="s">
        <v>92</v>
      </c>
      <c r="F466" s="27" t="s">
        <v>105</v>
      </c>
      <c r="G466" s="27" t="s">
        <v>117</v>
      </c>
      <c r="H466" s="28" t="n">
        <v>6</v>
      </c>
      <c r="I466" s="29" t="n">
        <v>1450</v>
      </c>
      <c r="J466" s="29" t="n">
        <v>8700</v>
      </c>
      <c r="K466" s="29" t="n">
        <f aca="false">H466*I466</f>
        <v>8700</v>
      </c>
      <c r="L466" s="29" t="n">
        <f aca="false">IFERROR(INDEX(Cat_Productos!$B$2:$B$6,MATCH(G466,Cat_Productos!$A$2:$A$6,0)),"")</f>
        <v>780</v>
      </c>
      <c r="M466" s="29" t="n">
        <f aca="false">IF(L466="","",H466*L466)</f>
        <v>4680</v>
      </c>
      <c r="N466" s="29" t="n">
        <f aca="false">IF(M466="","",J466-M466)</f>
        <v>4020</v>
      </c>
      <c r="O466" s="30" t="n">
        <f aca="false">IFERROR(N466/J466,0)</f>
        <v>0.462068965517241</v>
      </c>
      <c r="P466" s="27"/>
      <c r="Q466" s="27" t="s">
        <v>153</v>
      </c>
      <c r="R466" s="27" t="s">
        <v>154</v>
      </c>
      <c r="S466" s="27" t="n">
        <v>11</v>
      </c>
      <c r="T466" s="27"/>
    </row>
    <row r="467" customFormat="false" ht="15" hidden="false" customHeight="false" outlineLevel="0" collapsed="false">
      <c r="A467" s="26" t="n">
        <v>46094</v>
      </c>
      <c r="B467" s="27" t="n">
        <v>2026</v>
      </c>
      <c r="C467" s="27" t="n">
        <v>3</v>
      </c>
      <c r="D467" s="27" t="s">
        <v>82</v>
      </c>
      <c r="E467" s="27" t="s">
        <v>91</v>
      </c>
      <c r="F467" s="27" t="s">
        <v>103</v>
      </c>
      <c r="G467" s="27" t="s">
        <v>116</v>
      </c>
      <c r="H467" s="28" t="n">
        <v>4</v>
      </c>
      <c r="I467" s="29" t="n">
        <v>620</v>
      </c>
      <c r="J467" s="29" t="n">
        <v>2480</v>
      </c>
      <c r="K467" s="29" t="n">
        <f aca="false">H467*I467</f>
        <v>2480</v>
      </c>
      <c r="L467" s="29" t="n">
        <f aca="false">IFERROR(INDEX(Cat_Productos!$B$2:$B$6,MATCH(G467,Cat_Productos!$A$2:$A$6,0)),"")</f>
        <v>290</v>
      </c>
      <c r="M467" s="29" t="n">
        <f aca="false">IF(L467="","",H467*L467)</f>
        <v>1160</v>
      </c>
      <c r="N467" s="29" t="n">
        <f aca="false">IF(M467="","",J467-M467)</f>
        <v>1320</v>
      </c>
      <c r="O467" s="30" t="n">
        <f aca="false">IFERROR(N467/J467,0)</f>
        <v>0.532258064516129</v>
      </c>
      <c r="P467" s="27"/>
      <c r="Q467" s="27" t="s">
        <v>153</v>
      </c>
      <c r="R467" s="27" t="s">
        <v>154</v>
      </c>
      <c r="S467" s="27" t="n">
        <v>183</v>
      </c>
      <c r="T467" s="27"/>
    </row>
    <row r="468" customFormat="false" ht="15" hidden="false" customHeight="false" outlineLevel="0" collapsed="false">
      <c r="A468" s="26" t="n">
        <v>46096</v>
      </c>
      <c r="B468" s="27" t="n">
        <v>2026</v>
      </c>
      <c r="C468" s="27" t="n">
        <v>3</v>
      </c>
      <c r="D468" s="27" t="s">
        <v>82</v>
      </c>
      <c r="E468" s="27" t="s">
        <v>91</v>
      </c>
      <c r="F468" s="27" t="s">
        <v>107</v>
      </c>
      <c r="G468" s="27" t="s">
        <v>116</v>
      </c>
      <c r="H468" s="28" t="n">
        <v>2</v>
      </c>
      <c r="I468" s="29" t="n">
        <v>620</v>
      </c>
      <c r="J468" s="29" t="n">
        <v>1240</v>
      </c>
      <c r="K468" s="29" t="n">
        <f aca="false">H468*I468</f>
        <v>1240</v>
      </c>
      <c r="L468" s="29" t="n">
        <f aca="false">IFERROR(INDEX(Cat_Productos!$B$2:$B$6,MATCH(G468,Cat_Productos!$A$2:$A$6,0)),"")</f>
        <v>290</v>
      </c>
      <c r="M468" s="29" t="n">
        <f aca="false">IF(L468="","",H468*L468)</f>
        <v>580</v>
      </c>
      <c r="N468" s="29" t="n">
        <f aca="false">IF(M468="","",J468-M468)</f>
        <v>660</v>
      </c>
      <c r="O468" s="30" t="n">
        <f aca="false">IFERROR(N468/J468,0)</f>
        <v>0.532258064516129</v>
      </c>
      <c r="P468" s="27"/>
      <c r="Q468" s="27" t="s">
        <v>153</v>
      </c>
      <c r="R468" s="27" t="s">
        <v>154</v>
      </c>
      <c r="S468" s="27" t="n">
        <v>126</v>
      </c>
      <c r="T468" s="27"/>
    </row>
    <row r="469" customFormat="false" ht="15" hidden="false" customHeight="false" outlineLevel="0" collapsed="false">
      <c r="A469" s="26" t="n">
        <v>46096</v>
      </c>
      <c r="B469" s="27" t="n">
        <v>2026</v>
      </c>
      <c r="C469" s="27" t="n">
        <v>3</v>
      </c>
      <c r="D469" s="27" t="s">
        <v>82</v>
      </c>
      <c r="E469" s="27" t="s">
        <v>92</v>
      </c>
      <c r="F469" s="27" t="s">
        <v>105</v>
      </c>
      <c r="G469" s="27" t="s">
        <v>117</v>
      </c>
      <c r="H469" s="28" t="n">
        <v>6</v>
      </c>
      <c r="I469" s="29" t="n">
        <v>1450</v>
      </c>
      <c r="J469" s="29" t="n">
        <v>8700</v>
      </c>
      <c r="K469" s="29" t="n">
        <f aca="false">H469*I469</f>
        <v>8700</v>
      </c>
      <c r="L469" s="29" t="n">
        <f aca="false">IFERROR(INDEX(Cat_Productos!$B$2:$B$6,MATCH(G469,Cat_Productos!$A$2:$A$6,0)),"")</f>
        <v>780</v>
      </c>
      <c r="M469" s="29" t="n">
        <f aca="false">IF(L469="","",H469*L469)</f>
        <v>4680</v>
      </c>
      <c r="N469" s="29" t="n">
        <f aca="false">IF(M469="","",J469-M469)</f>
        <v>4020</v>
      </c>
      <c r="O469" s="30" t="n">
        <f aca="false">IFERROR(N469/J469,0)</f>
        <v>0.462068965517241</v>
      </c>
      <c r="P469" s="27"/>
      <c r="Q469" s="27" t="s">
        <v>153</v>
      </c>
      <c r="R469" s="27" t="s">
        <v>154</v>
      </c>
      <c r="S469" s="27" t="n">
        <v>10</v>
      </c>
      <c r="T469" s="27"/>
    </row>
    <row r="470" customFormat="false" ht="15" hidden="false" customHeight="false" outlineLevel="0" collapsed="false">
      <c r="A470" s="26" t="n">
        <v>46096</v>
      </c>
      <c r="B470" s="27" t="n">
        <v>2026</v>
      </c>
      <c r="C470" s="27" t="n">
        <v>3</v>
      </c>
      <c r="D470" s="27" t="s">
        <v>82</v>
      </c>
      <c r="E470" s="27" t="s">
        <v>91</v>
      </c>
      <c r="F470" s="27" t="s">
        <v>107</v>
      </c>
      <c r="G470" s="27" t="s">
        <v>117</v>
      </c>
      <c r="H470" s="28" t="n">
        <v>6</v>
      </c>
      <c r="I470" s="29" t="n">
        <v>1450</v>
      </c>
      <c r="J470" s="29" t="n">
        <v>8700</v>
      </c>
      <c r="K470" s="29" t="n">
        <f aca="false">H470*I470</f>
        <v>8700</v>
      </c>
      <c r="L470" s="29" t="n">
        <f aca="false">IFERROR(INDEX(Cat_Productos!$B$2:$B$6,MATCH(G470,Cat_Productos!$A$2:$A$6,0)),"")</f>
        <v>780</v>
      </c>
      <c r="M470" s="29" t="n">
        <f aca="false">IF(L470="","",H470*L470)</f>
        <v>4680</v>
      </c>
      <c r="N470" s="29" t="n">
        <f aca="false">IF(M470="","",J470-M470)</f>
        <v>4020</v>
      </c>
      <c r="O470" s="30" t="n">
        <f aca="false">IFERROR(N470/J470,0)</f>
        <v>0.462068965517241</v>
      </c>
      <c r="P470" s="27"/>
      <c r="Q470" s="27" t="s">
        <v>153</v>
      </c>
      <c r="R470" s="27" t="s">
        <v>154</v>
      </c>
      <c r="S470" s="27" t="n">
        <v>116</v>
      </c>
      <c r="T470" s="27"/>
    </row>
    <row r="471" customFormat="false" ht="15" hidden="false" customHeight="false" outlineLevel="0" collapsed="false">
      <c r="A471" s="26" t="n">
        <v>46096</v>
      </c>
      <c r="B471" s="27" t="n">
        <v>2026</v>
      </c>
      <c r="C471" s="27" t="n">
        <v>3</v>
      </c>
      <c r="D471" s="27" t="s">
        <v>82</v>
      </c>
      <c r="E471" s="27" t="s">
        <v>92</v>
      </c>
      <c r="F471" s="27" t="s">
        <v>105</v>
      </c>
      <c r="G471" s="27" t="s">
        <v>117</v>
      </c>
      <c r="H471" s="28" t="n">
        <v>4</v>
      </c>
      <c r="I471" s="29" t="n">
        <v>1450</v>
      </c>
      <c r="J471" s="29" t="n">
        <v>5800</v>
      </c>
      <c r="K471" s="29" t="n">
        <f aca="false">H471*I471</f>
        <v>5800</v>
      </c>
      <c r="L471" s="29" t="n">
        <f aca="false">IFERROR(INDEX(Cat_Productos!$B$2:$B$6,MATCH(G471,Cat_Productos!$A$2:$A$6,0)),"")</f>
        <v>780</v>
      </c>
      <c r="M471" s="29" t="n">
        <f aca="false">IF(L471="","",H471*L471)</f>
        <v>3120</v>
      </c>
      <c r="N471" s="29" t="n">
        <f aca="false">IF(M471="","",J471-M471)</f>
        <v>2680</v>
      </c>
      <c r="O471" s="30" t="n">
        <f aca="false">IFERROR(N471/J471,0)</f>
        <v>0.462068965517241</v>
      </c>
      <c r="P471" s="27"/>
      <c r="Q471" s="27" t="s">
        <v>153</v>
      </c>
      <c r="R471" s="27" t="s">
        <v>154</v>
      </c>
      <c r="S471" s="27" t="n">
        <v>8</v>
      </c>
      <c r="T471" s="27"/>
    </row>
    <row r="472" customFormat="false" ht="15" hidden="false" customHeight="false" outlineLevel="0" collapsed="false">
      <c r="A472" s="26" t="n">
        <v>46096</v>
      </c>
      <c r="B472" s="27" t="n">
        <v>2026</v>
      </c>
      <c r="C472" s="27" t="n">
        <v>3</v>
      </c>
      <c r="D472" s="27" t="s">
        <v>82</v>
      </c>
      <c r="E472" s="27" t="s">
        <v>92</v>
      </c>
      <c r="F472" s="27" t="s">
        <v>105</v>
      </c>
      <c r="G472" s="27" t="s">
        <v>116</v>
      </c>
      <c r="H472" s="28" t="n">
        <v>4</v>
      </c>
      <c r="I472" s="29" t="n">
        <v>620</v>
      </c>
      <c r="J472" s="29" t="n">
        <v>2480</v>
      </c>
      <c r="K472" s="29" t="n">
        <f aca="false">H472*I472</f>
        <v>2480</v>
      </c>
      <c r="L472" s="29" t="n">
        <f aca="false">IFERROR(INDEX(Cat_Productos!$B$2:$B$6,MATCH(G472,Cat_Productos!$A$2:$A$6,0)),"")</f>
        <v>290</v>
      </c>
      <c r="M472" s="29" t="n">
        <f aca="false">IF(L472="","",H472*L472)</f>
        <v>1160</v>
      </c>
      <c r="N472" s="29" t="n">
        <f aca="false">IF(M472="","",J472-M472)</f>
        <v>1320</v>
      </c>
      <c r="O472" s="30" t="n">
        <f aca="false">IFERROR(N472/J472,0)</f>
        <v>0.532258064516129</v>
      </c>
      <c r="P472" s="27"/>
      <c r="Q472" s="27" t="s">
        <v>153</v>
      </c>
      <c r="R472" s="27" t="s">
        <v>154</v>
      </c>
      <c r="S472" s="27" t="n">
        <v>42</v>
      </c>
      <c r="T472" s="27"/>
    </row>
    <row r="473" customFormat="false" ht="15" hidden="false" customHeight="false" outlineLevel="0" collapsed="false">
      <c r="A473" s="26" t="n">
        <v>46096</v>
      </c>
      <c r="B473" s="27" t="n">
        <v>2026</v>
      </c>
      <c r="C473" s="27" t="n">
        <v>3</v>
      </c>
      <c r="D473" s="27" t="s">
        <v>82</v>
      </c>
      <c r="E473" s="27" t="s">
        <v>91</v>
      </c>
      <c r="F473" s="27" t="s">
        <v>107</v>
      </c>
      <c r="G473" s="27" t="s">
        <v>116</v>
      </c>
      <c r="H473" s="28" t="n">
        <v>4</v>
      </c>
      <c r="I473" s="29" t="n">
        <v>620</v>
      </c>
      <c r="J473" s="29" t="n">
        <v>2480</v>
      </c>
      <c r="K473" s="29" t="n">
        <f aca="false">H473*I473</f>
        <v>2480</v>
      </c>
      <c r="L473" s="29" t="n">
        <f aca="false">IFERROR(INDEX(Cat_Productos!$B$2:$B$6,MATCH(G473,Cat_Productos!$A$2:$A$6,0)),"")</f>
        <v>290</v>
      </c>
      <c r="M473" s="29" t="n">
        <f aca="false">IF(L473="","",H473*L473)</f>
        <v>1160</v>
      </c>
      <c r="N473" s="29" t="n">
        <f aca="false">IF(M473="","",J473-M473)</f>
        <v>1320</v>
      </c>
      <c r="O473" s="30" t="n">
        <f aca="false">IFERROR(N473/J473,0)</f>
        <v>0.532258064516129</v>
      </c>
      <c r="P473" s="27"/>
      <c r="Q473" s="27" t="s">
        <v>153</v>
      </c>
      <c r="R473" s="27" t="s">
        <v>154</v>
      </c>
      <c r="S473" s="27" t="n">
        <v>132</v>
      </c>
      <c r="T473" s="27"/>
    </row>
    <row r="474" customFormat="false" ht="15" hidden="false" customHeight="false" outlineLevel="0" collapsed="false">
      <c r="A474" s="26" t="n">
        <v>46096</v>
      </c>
      <c r="B474" s="27" t="n">
        <v>2026</v>
      </c>
      <c r="C474" s="27" t="n">
        <v>3</v>
      </c>
      <c r="D474" s="27" t="s">
        <v>82</v>
      </c>
      <c r="E474" s="27" t="s">
        <v>93</v>
      </c>
      <c r="F474" s="27" t="s">
        <v>104</v>
      </c>
      <c r="G474" s="27" t="s">
        <v>117</v>
      </c>
      <c r="H474" s="28" t="n">
        <v>4</v>
      </c>
      <c r="I474" s="29" t="n">
        <v>1450</v>
      </c>
      <c r="J474" s="29" t="n">
        <v>5800</v>
      </c>
      <c r="K474" s="29" t="n">
        <f aca="false">H474*I474</f>
        <v>5800</v>
      </c>
      <c r="L474" s="29" t="n">
        <f aca="false">IFERROR(INDEX(Cat_Productos!$B$2:$B$6,MATCH(G474,Cat_Productos!$A$2:$A$6,0)),"")</f>
        <v>780</v>
      </c>
      <c r="M474" s="29" t="n">
        <f aca="false">IF(L474="","",H474*L474)</f>
        <v>3120</v>
      </c>
      <c r="N474" s="29" t="n">
        <f aca="false">IF(M474="","",J474-M474)</f>
        <v>2680</v>
      </c>
      <c r="O474" s="30" t="n">
        <f aca="false">IFERROR(N474/J474,0)</f>
        <v>0.462068965517241</v>
      </c>
      <c r="P474" s="27"/>
      <c r="Q474" s="27" t="s">
        <v>153</v>
      </c>
      <c r="R474" s="27" t="s">
        <v>154</v>
      </c>
      <c r="S474" s="27" t="n">
        <v>212</v>
      </c>
      <c r="T474" s="27"/>
    </row>
    <row r="475" customFormat="false" ht="15" hidden="false" customHeight="false" outlineLevel="0" collapsed="false">
      <c r="A475" s="26" t="n">
        <v>46096</v>
      </c>
      <c r="B475" s="27" t="n">
        <v>2026</v>
      </c>
      <c r="C475" s="27" t="n">
        <v>3</v>
      </c>
      <c r="D475" s="27" t="s">
        <v>82</v>
      </c>
      <c r="E475" s="27" t="s">
        <v>93</v>
      </c>
      <c r="F475" s="27" t="s">
        <v>104</v>
      </c>
      <c r="G475" s="27" t="s">
        <v>116</v>
      </c>
      <c r="H475" s="28" t="n">
        <v>2</v>
      </c>
      <c r="I475" s="29" t="n">
        <v>620</v>
      </c>
      <c r="J475" s="29" t="n">
        <v>1240</v>
      </c>
      <c r="K475" s="29" t="n">
        <f aca="false">H475*I475</f>
        <v>1240</v>
      </c>
      <c r="L475" s="29" t="n">
        <f aca="false">IFERROR(INDEX(Cat_Productos!$B$2:$B$6,MATCH(G475,Cat_Productos!$A$2:$A$6,0)),"")</f>
        <v>290</v>
      </c>
      <c r="M475" s="29" t="n">
        <f aca="false">IF(L475="","",H475*L475)</f>
        <v>580</v>
      </c>
      <c r="N475" s="29" t="n">
        <f aca="false">IF(M475="","",J475-M475)</f>
        <v>660</v>
      </c>
      <c r="O475" s="30" t="n">
        <f aca="false">IFERROR(N475/J475,0)</f>
        <v>0.532258064516129</v>
      </c>
      <c r="P475" s="27"/>
      <c r="Q475" s="27" t="s">
        <v>153</v>
      </c>
      <c r="R475" s="27" t="s">
        <v>154</v>
      </c>
      <c r="S475" s="27" t="n">
        <v>224</v>
      </c>
      <c r="T475" s="27"/>
    </row>
    <row r="476" customFormat="false" ht="15" hidden="false" customHeight="false" outlineLevel="0" collapsed="false">
      <c r="A476" s="26" t="n">
        <v>46096</v>
      </c>
      <c r="B476" s="27" t="n">
        <v>2026</v>
      </c>
      <c r="C476" s="27" t="n">
        <v>3</v>
      </c>
      <c r="D476" s="27" t="s">
        <v>82</v>
      </c>
      <c r="E476" s="27" t="s">
        <v>93</v>
      </c>
      <c r="F476" s="27" t="s">
        <v>104</v>
      </c>
      <c r="G476" s="27" t="s">
        <v>117</v>
      </c>
      <c r="H476" s="28" t="n">
        <v>4</v>
      </c>
      <c r="I476" s="29" t="n">
        <v>1450</v>
      </c>
      <c r="J476" s="29" t="n">
        <v>5800</v>
      </c>
      <c r="K476" s="29" t="n">
        <f aca="false">H476*I476</f>
        <v>5800</v>
      </c>
      <c r="L476" s="29" t="n">
        <f aca="false">IFERROR(INDEX(Cat_Productos!$B$2:$B$6,MATCH(G476,Cat_Productos!$A$2:$A$6,0)),"")</f>
        <v>780</v>
      </c>
      <c r="M476" s="29" t="n">
        <f aca="false">IF(L476="","",H476*L476)</f>
        <v>3120</v>
      </c>
      <c r="N476" s="29" t="n">
        <f aca="false">IF(M476="","",J476-M476)</f>
        <v>2680</v>
      </c>
      <c r="O476" s="30" t="n">
        <f aca="false">IFERROR(N476/J476,0)</f>
        <v>0.462068965517241</v>
      </c>
      <c r="P476" s="27"/>
      <c r="Q476" s="27" t="s">
        <v>153</v>
      </c>
      <c r="R476" s="27" t="s">
        <v>154</v>
      </c>
      <c r="S476" s="27" t="n">
        <v>210</v>
      </c>
      <c r="T476" s="27"/>
    </row>
    <row r="477" customFormat="false" ht="15" hidden="false" customHeight="false" outlineLevel="0" collapsed="false">
      <c r="A477" s="26" t="n">
        <v>46096</v>
      </c>
      <c r="B477" s="27" t="n">
        <v>2026</v>
      </c>
      <c r="C477" s="27" t="n">
        <v>3</v>
      </c>
      <c r="D477" s="27" t="s">
        <v>82</v>
      </c>
      <c r="E477" s="27" t="s">
        <v>92</v>
      </c>
      <c r="F477" s="27" t="s">
        <v>105</v>
      </c>
      <c r="G477" s="27" t="s">
        <v>116</v>
      </c>
      <c r="H477" s="28" t="n">
        <v>6</v>
      </c>
      <c r="I477" s="29" t="n">
        <v>620</v>
      </c>
      <c r="J477" s="29" t="n">
        <v>3720</v>
      </c>
      <c r="K477" s="29" t="n">
        <f aca="false">H477*I477</f>
        <v>3720</v>
      </c>
      <c r="L477" s="29" t="n">
        <f aca="false">IFERROR(INDEX(Cat_Productos!$B$2:$B$6,MATCH(G477,Cat_Productos!$A$2:$A$6,0)),"")</f>
        <v>290</v>
      </c>
      <c r="M477" s="29" t="n">
        <f aca="false">IF(L477="","",H477*L477)</f>
        <v>1740</v>
      </c>
      <c r="N477" s="29" t="n">
        <f aca="false">IF(M477="","",J477-M477)</f>
        <v>1980</v>
      </c>
      <c r="O477" s="30" t="n">
        <f aca="false">IFERROR(N477/J477,0)</f>
        <v>0.532258064516129</v>
      </c>
      <c r="P477" s="27"/>
      <c r="Q477" s="27" t="s">
        <v>153</v>
      </c>
      <c r="R477" s="27" t="s">
        <v>154</v>
      </c>
      <c r="S477" s="27" t="n">
        <v>32</v>
      </c>
      <c r="T477" s="27"/>
    </row>
    <row r="478" customFormat="false" ht="15" hidden="false" customHeight="false" outlineLevel="0" collapsed="false">
      <c r="A478" s="26" t="n">
        <v>46096</v>
      </c>
      <c r="B478" s="27" t="n">
        <v>2026</v>
      </c>
      <c r="C478" s="27" t="n">
        <v>3</v>
      </c>
      <c r="D478" s="27" t="s">
        <v>82</v>
      </c>
      <c r="E478" s="27" t="s">
        <v>91</v>
      </c>
      <c r="F478" s="27" t="s">
        <v>103</v>
      </c>
      <c r="G478" s="27" t="s">
        <v>116</v>
      </c>
      <c r="H478" s="28" t="n">
        <v>4</v>
      </c>
      <c r="I478" s="29" t="n">
        <v>620</v>
      </c>
      <c r="J478" s="29" t="n">
        <v>2480</v>
      </c>
      <c r="K478" s="29" t="n">
        <f aca="false">H478*I478</f>
        <v>2480</v>
      </c>
      <c r="L478" s="29" t="n">
        <f aca="false">IFERROR(INDEX(Cat_Productos!$B$2:$B$6,MATCH(G478,Cat_Productos!$A$2:$A$6,0)),"")</f>
        <v>290</v>
      </c>
      <c r="M478" s="29" t="n">
        <f aca="false">IF(L478="","",H478*L478)</f>
        <v>1160</v>
      </c>
      <c r="N478" s="29" t="n">
        <f aca="false">IF(M478="","",J478-M478)</f>
        <v>1320</v>
      </c>
      <c r="O478" s="30" t="n">
        <f aca="false">IFERROR(N478/J478,0)</f>
        <v>0.532258064516129</v>
      </c>
      <c r="P478" s="27"/>
      <c r="Q478" s="27" t="s">
        <v>153</v>
      </c>
      <c r="R478" s="27" t="s">
        <v>154</v>
      </c>
      <c r="S478" s="27" t="n">
        <v>172</v>
      </c>
      <c r="T478" s="27"/>
    </row>
    <row r="479" customFormat="false" ht="15" hidden="false" customHeight="false" outlineLevel="0" collapsed="false">
      <c r="A479" s="26" t="n">
        <v>46096</v>
      </c>
      <c r="B479" s="27" t="n">
        <v>2026</v>
      </c>
      <c r="C479" s="27" t="n">
        <v>3</v>
      </c>
      <c r="D479" s="27" t="s">
        <v>82</v>
      </c>
      <c r="E479" s="27" t="s">
        <v>92</v>
      </c>
      <c r="F479" s="27" t="s">
        <v>106</v>
      </c>
      <c r="G479" s="27" t="s">
        <v>116</v>
      </c>
      <c r="H479" s="28" t="n">
        <v>2</v>
      </c>
      <c r="I479" s="29" t="n">
        <v>620</v>
      </c>
      <c r="J479" s="29" t="n">
        <v>1240</v>
      </c>
      <c r="K479" s="29" t="n">
        <f aca="false">H479*I479</f>
        <v>1240</v>
      </c>
      <c r="L479" s="29" t="n">
        <f aca="false">IFERROR(INDEX(Cat_Productos!$B$2:$B$6,MATCH(G479,Cat_Productos!$A$2:$A$6,0)),"")</f>
        <v>290</v>
      </c>
      <c r="M479" s="29" t="n">
        <f aca="false">IF(L479="","",H479*L479)</f>
        <v>580</v>
      </c>
      <c r="N479" s="29" t="n">
        <f aca="false">IF(M479="","",J479-M479)</f>
        <v>660</v>
      </c>
      <c r="O479" s="30" t="n">
        <f aca="false">IFERROR(N479/J479,0)</f>
        <v>0.532258064516129</v>
      </c>
      <c r="P479" s="27"/>
      <c r="Q479" s="27" t="s">
        <v>153</v>
      </c>
      <c r="R479" s="27" t="s">
        <v>154</v>
      </c>
      <c r="S479" s="27" t="n">
        <v>201</v>
      </c>
      <c r="T479" s="27"/>
    </row>
    <row r="480" customFormat="false" ht="15" hidden="false" customHeight="false" outlineLevel="0" collapsed="false">
      <c r="A480" s="26" t="n">
        <v>46096</v>
      </c>
      <c r="B480" s="27" t="n">
        <v>2026</v>
      </c>
      <c r="C480" s="27" t="n">
        <v>3</v>
      </c>
      <c r="D480" s="27" t="s">
        <v>82</v>
      </c>
      <c r="E480" s="27" t="s">
        <v>92</v>
      </c>
      <c r="F480" s="27" t="s">
        <v>105</v>
      </c>
      <c r="G480" s="27" t="s">
        <v>117</v>
      </c>
      <c r="H480" s="28" t="n">
        <v>6</v>
      </c>
      <c r="I480" s="29" t="n">
        <v>1450</v>
      </c>
      <c r="J480" s="29" t="n">
        <v>8700</v>
      </c>
      <c r="K480" s="29" t="n">
        <f aca="false">H480*I480</f>
        <v>8700</v>
      </c>
      <c r="L480" s="29" t="n">
        <f aca="false">IFERROR(INDEX(Cat_Productos!$B$2:$B$6,MATCH(G480,Cat_Productos!$A$2:$A$6,0)),"")</f>
        <v>780</v>
      </c>
      <c r="M480" s="29" t="n">
        <f aca="false">IF(L480="","",H480*L480)</f>
        <v>4680</v>
      </c>
      <c r="N480" s="29" t="n">
        <f aca="false">IF(M480="","",J480-M480)</f>
        <v>4020</v>
      </c>
      <c r="O480" s="30" t="n">
        <f aca="false">IFERROR(N480/J480,0)</f>
        <v>0.462068965517241</v>
      </c>
      <c r="P480" s="27"/>
      <c r="Q480" s="27" t="s">
        <v>153</v>
      </c>
      <c r="R480" s="27" t="s">
        <v>154</v>
      </c>
      <c r="S480" s="27" t="n">
        <v>30</v>
      </c>
      <c r="T480" s="27"/>
    </row>
    <row r="481" customFormat="false" ht="15" hidden="false" customHeight="false" outlineLevel="0" collapsed="false">
      <c r="A481" s="26" t="n">
        <v>46096</v>
      </c>
      <c r="B481" s="27" t="n">
        <v>2026</v>
      </c>
      <c r="C481" s="27" t="n">
        <v>3</v>
      </c>
      <c r="D481" s="27" t="s">
        <v>82</v>
      </c>
      <c r="E481" s="27" t="s">
        <v>92</v>
      </c>
      <c r="F481" s="27" t="s">
        <v>105</v>
      </c>
      <c r="G481" s="27" t="s">
        <v>117</v>
      </c>
      <c r="H481" s="28" t="n">
        <v>6</v>
      </c>
      <c r="I481" s="29" t="n">
        <v>1450</v>
      </c>
      <c r="J481" s="29" t="n">
        <v>8700</v>
      </c>
      <c r="K481" s="29" t="n">
        <f aca="false">H481*I481</f>
        <v>8700</v>
      </c>
      <c r="L481" s="29" t="n">
        <f aca="false">IFERROR(INDEX(Cat_Productos!$B$2:$B$6,MATCH(G481,Cat_Productos!$A$2:$A$6,0)),"")</f>
        <v>780</v>
      </c>
      <c r="M481" s="29" t="n">
        <f aca="false">IF(L481="","",H481*L481)</f>
        <v>4680</v>
      </c>
      <c r="N481" s="29" t="n">
        <f aca="false">IF(M481="","",J481-M481)</f>
        <v>4020</v>
      </c>
      <c r="O481" s="30" t="n">
        <f aca="false">IFERROR(N481/J481,0)</f>
        <v>0.462068965517241</v>
      </c>
      <c r="P481" s="27"/>
      <c r="Q481" s="27" t="s">
        <v>153</v>
      </c>
      <c r="R481" s="27" t="s">
        <v>154</v>
      </c>
      <c r="S481" s="27" t="n">
        <v>22</v>
      </c>
      <c r="T481" s="27"/>
    </row>
    <row r="482" customFormat="false" ht="15" hidden="false" customHeight="false" outlineLevel="0" collapsed="false">
      <c r="A482" s="26" t="n">
        <v>46096</v>
      </c>
      <c r="B482" s="27" t="n">
        <v>2026</v>
      </c>
      <c r="C482" s="27" t="n">
        <v>3</v>
      </c>
      <c r="D482" s="27" t="s">
        <v>82</v>
      </c>
      <c r="E482" s="27" t="s">
        <v>93</v>
      </c>
      <c r="F482" s="27" t="s">
        <v>108</v>
      </c>
      <c r="G482" s="27" t="s">
        <v>114</v>
      </c>
      <c r="H482" s="28" t="n">
        <v>3</v>
      </c>
      <c r="I482" s="29" t="n">
        <v>24500</v>
      </c>
      <c r="J482" s="29" t="n">
        <v>73500</v>
      </c>
      <c r="K482" s="29" t="n">
        <f aca="false">H482*I482</f>
        <v>73500</v>
      </c>
      <c r="L482" s="29" t="n">
        <f aca="false">IFERROR(INDEX(Cat_Productos!$B$2:$B$6,MATCH(G482,Cat_Productos!$A$2:$A$6,0)),"")</f>
        <v>19200</v>
      </c>
      <c r="M482" s="29" t="n">
        <f aca="false">IF(L482="","",H482*L482)</f>
        <v>57600</v>
      </c>
      <c r="N482" s="29" t="n">
        <f aca="false">IF(M482="","",J482-M482)</f>
        <v>15900</v>
      </c>
      <c r="O482" s="30" t="n">
        <f aca="false">IFERROR(N482/J482,0)</f>
        <v>0.216326530612245</v>
      </c>
      <c r="P482" s="27"/>
      <c r="Q482" s="27" t="s">
        <v>153</v>
      </c>
      <c r="R482" s="27" t="s">
        <v>154</v>
      </c>
      <c r="S482" s="27" t="n">
        <v>63</v>
      </c>
      <c r="T482" s="27"/>
    </row>
    <row r="483" customFormat="false" ht="15" hidden="false" customHeight="false" outlineLevel="0" collapsed="false">
      <c r="A483" s="26" t="n">
        <v>46096</v>
      </c>
      <c r="B483" s="27" t="n">
        <v>2026</v>
      </c>
      <c r="C483" s="27" t="n">
        <v>3</v>
      </c>
      <c r="D483" s="27" t="s">
        <v>82</v>
      </c>
      <c r="E483" s="27" t="s">
        <v>92</v>
      </c>
      <c r="F483" s="27" t="s">
        <v>105</v>
      </c>
      <c r="G483" s="27" t="s">
        <v>117</v>
      </c>
      <c r="H483" s="28" t="n">
        <v>6</v>
      </c>
      <c r="I483" s="29" t="n">
        <v>1450</v>
      </c>
      <c r="J483" s="29" t="n">
        <v>8700</v>
      </c>
      <c r="K483" s="29" t="n">
        <f aca="false">H483*I483</f>
        <v>8700</v>
      </c>
      <c r="L483" s="29" t="n">
        <f aca="false">IFERROR(INDEX(Cat_Productos!$B$2:$B$6,MATCH(G483,Cat_Productos!$A$2:$A$6,0)),"")</f>
        <v>780</v>
      </c>
      <c r="M483" s="29" t="n">
        <f aca="false">IF(L483="","",H483*L483)</f>
        <v>4680</v>
      </c>
      <c r="N483" s="29" t="n">
        <f aca="false">IF(M483="","",J483-M483)</f>
        <v>4020</v>
      </c>
      <c r="O483" s="30" t="n">
        <f aca="false">IFERROR(N483/J483,0)</f>
        <v>0.462068965517241</v>
      </c>
      <c r="P483" s="27"/>
      <c r="Q483" s="27" t="s">
        <v>153</v>
      </c>
      <c r="R483" s="27" t="s">
        <v>154</v>
      </c>
      <c r="S483" s="27" t="n">
        <v>20</v>
      </c>
      <c r="T483" s="27"/>
    </row>
    <row r="484" customFormat="false" ht="15" hidden="false" customHeight="false" outlineLevel="0" collapsed="false">
      <c r="A484" s="26" t="n">
        <v>46096</v>
      </c>
      <c r="B484" s="27" t="n">
        <v>2026</v>
      </c>
      <c r="C484" s="27" t="n">
        <v>3</v>
      </c>
      <c r="D484" s="27" t="s">
        <v>82</v>
      </c>
      <c r="E484" s="27" t="s">
        <v>91</v>
      </c>
      <c r="F484" s="27" t="s">
        <v>103</v>
      </c>
      <c r="G484" s="27" t="s">
        <v>117</v>
      </c>
      <c r="H484" s="28" t="n">
        <v>4</v>
      </c>
      <c r="I484" s="29" t="n">
        <v>1450</v>
      </c>
      <c r="J484" s="29" t="n">
        <v>5800</v>
      </c>
      <c r="K484" s="29" t="n">
        <f aca="false">H484*I484</f>
        <v>5800</v>
      </c>
      <c r="L484" s="29" t="n">
        <f aca="false">IFERROR(INDEX(Cat_Productos!$B$2:$B$6,MATCH(G484,Cat_Productos!$A$2:$A$6,0)),"")</f>
        <v>780</v>
      </c>
      <c r="M484" s="29" t="n">
        <f aca="false">IF(L484="","",H484*L484)</f>
        <v>3120</v>
      </c>
      <c r="N484" s="29" t="n">
        <f aca="false">IF(M484="","",J484-M484)</f>
        <v>2680</v>
      </c>
      <c r="O484" s="30" t="n">
        <f aca="false">IFERROR(N484/J484,0)</f>
        <v>0.462068965517241</v>
      </c>
      <c r="P484" s="27"/>
      <c r="Q484" s="27" t="s">
        <v>153</v>
      </c>
      <c r="R484" s="27" t="s">
        <v>154</v>
      </c>
      <c r="S484" s="27" t="n">
        <v>148</v>
      </c>
      <c r="T484" s="27"/>
    </row>
    <row r="485" customFormat="false" ht="15" hidden="false" customHeight="false" outlineLevel="0" collapsed="false">
      <c r="A485" s="26" t="n">
        <v>46096</v>
      </c>
      <c r="B485" s="27" t="n">
        <v>2026</v>
      </c>
      <c r="C485" s="27" t="n">
        <v>3</v>
      </c>
      <c r="D485" s="27" t="s">
        <v>82</v>
      </c>
      <c r="E485" s="27" t="s">
        <v>91</v>
      </c>
      <c r="F485" s="27" t="s">
        <v>107</v>
      </c>
      <c r="G485" s="27" t="s">
        <v>117</v>
      </c>
      <c r="H485" s="28" t="n">
        <v>4</v>
      </c>
      <c r="I485" s="29" t="n">
        <v>1450</v>
      </c>
      <c r="J485" s="29" t="n">
        <v>5800</v>
      </c>
      <c r="K485" s="29" t="n">
        <f aca="false">H485*I485</f>
        <v>5800</v>
      </c>
      <c r="L485" s="29" t="n">
        <f aca="false">IFERROR(INDEX(Cat_Productos!$B$2:$B$6,MATCH(G485,Cat_Productos!$A$2:$A$6,0)),"")</f>
        <v>780</v>
      </c>
      <c r="M485" s="29" t="n">
        <f aca="false">IF(L485="","",H485*L485)</f>
        <v>3120</v>
      </c>
      <c r="N485" s="29" t="n">
        <f aca="false">IF(M485="","",J485-M485)</f>
        <v>2680</v>
      </c>
      <c r="O485" s="30" t="n">
        <f aca="false">IFERROR(N485/J485,0)</f>
        <v>0.462068965517241</v>
      </c>
      <c r="P485" s="27"/>
      <c r="Q485" s="27" t="s">
        <v>153</v>
      </c>
      <c r="R485" s="27" t="s">
        <v>154</v>
      </c>
      <c r="S485" s="27" t="n">
        <v>106</v>
      </c>
      <c r="T485" s="27"/>
    </row>
    <row r="486" customFormat="false" ht="15" hidden="false" customHeight="false" outlineLevel="0" collapsed="false">
      <c r="A486" s="26" t="n">
        <v>46096</v>
      </c>
      <c r="B486" s="27" t="n">
        <v>2026</v>
      </c>
      <c r="C486" s="27" t="n">
        <v>3</v>
      </c>
      <c r="D486" s="27" t="s">
        <v>82</v>
      </c>
      <c r="E486" s="27" t="s">
        <v>91</v>
      </c>
      <c r="F486" s="27" t="s">
        <v>107</v>
      </c>
      <c r="G486" s="27" t="s">
        <v>114</v>
      </c>
      <c r="H486" s="28" t="n">
        <v>6</v>
      </c>
      <c r="I486" s="29" t="n">
        <v>24500</v>
      </c>
      <c r="J486" s="29" t="n">
        <v>147000</v>
      </c>
      <c r="K486" s="29" t="n">
        <f aca="false">H486*I486</f>
        <v>147000</v>
      </c>
      <c r="L486" s="29" t="n">
        <f aca="false">IFERROR(INDEX(Cat_Productos!$B$2:$B$6,MATCH(G486,Cat_Productos!$A$2:$A$6,0)),"")</f>
        <v>19200</v>
      </c>
      <c r="M486" s="29" t="n">
        <f aca="false">IF(L486="","",H486*L486)</f>
        <v>115200</v>
      </c>
      <c r="N486" s="29" t="n">
        <f aca="false">IF(M486="","",J486-M486)</f>
        <v>31800</v>
      </c>
      <c r="O486" s="30" t="n">
        <f aca="false">IFERROR(N486/J486,0)</f>
        <v>0.216326530612245</v>
      </c>
      <c r="P486" s="27"/>
      <c r="Q486" s="27" t="s">
        <v>153</v>
      </c>
      <c r="R486" s="27" t="s">
        <v>154</v>
      </c>
      <c r="S486" s="27" t="n">
        <v>100</v>
      </c>
      <c r="T486" s="27"/>
    </row>
    <row r="487" customFormat="false" ht="15" hidden="false" customHeight="false" outlineLevel="0" collapsed="false">
      <c r="A487" s="26" t="n">
        <v>46096</v>
      </c>
      <c r="B487" s="27" t="n">
        <v>2026</v>
      </c>
      <c r="C487" s="27" t="n">
        <v>3</v>
      </c>
      <c r="D487" s="27" t="s">
        <v>82</v>
      </c>
      <c r="E487" s="27" t="s">
        <v>92</v>
      </c>
      <c r="F487" s="27" t="s">
        <v>106</v>
      </c>
      <c r="G487" s="27" t="s">
        <v>117</v>
      </c>
      <c r="H487" s="28" t="n">
        <v>2</v>
      </c>
      <c r="I487" s="29" t="n">
        <v>1450</v>
      </c>
      <c r="J487" s="29" t="n">
        <v>2900</v>
      </c>
      <c r="K487" s="29" t="n">
        <f aca="false">H487*I487</f>
        <v>2900</v>
      </c>
      <c r="L487" s="29" t="n">
        <f aca="false">IFERROR(INDEX(Cat_Productos!$B$2:$B$6,MATCH(G487,Cat_Productos!$A$2:$A$6,0)),"")</f>
        <v>780</v>
      </c>
      <c r="M487" s="29" t="n">
        <f aca="false">IF(L487="","",H487*L487)</f>
        <v>1560</v>
      </c>
      <c r="N487" s="29" t="n">
        <f aca="false">IF(M487="","",J487-M487)</f>
        <v>1340</v>
      </c>
      <c r="O487" s="30" t="n">
        <f aca="false">IFERROR(N487/J487,0)</f>
        <v>0.462068965517241</v>
      </c>
      <c r="P487" s="27"/>
      <c r="Q487" s="27" t="s">
        <v>153</v>
      </c>
      <c r="R487" s="27" t="s">
        <v>154</v>
      </c>
      <c r="S487" s="27" t="n">
        <v>193</v>
      </c>
      <c r="T487" s="27"/>
    </row>
    <row r="488" customFormat="false" ht="15" hidden="false" customHeight="false" outlineLevel="0" collapsed="false">
      <c r="A488" s="26" t="n">
        <v>46098</v>
      </c>
      <c r="B488" s="27" t="n">
        <v>2026</v>
      </c>
      <c r="C488" s="27" t="n">
        <v>3</v>
      </c>
      <c r="D488" s="27" t="s">
        <v>82</v>
      </c>
      <c r="E488" s="27" t="s">
        <v>92</v>
      </c>
      <c r="F488" s="27" t="s">
        <v>105</v>
      </c>
      <c r="G488" s="27" t="s">
        <v>117</v>
      </c>
      <c r="H488" s="28" t="n">
        <v>6</v>
      </c>
      <c r="I488" s="29" t="n">
        <v>1450</v>
      </c>
      <c r="J488" s="29" t="n">
        <v>8700</v>
      </c>
      <c r="K488" s="29" t="n">
        <f aca="false">H488*I488</f>
        <v>8700</v>
      </c>
      <c r="L488" s="29" t="n">
        <f aca="false">IFERROR(INDEX(Cat_Productos!$B$2:$B$6,MATCH(G488,Cat_Productos!$A$2:$A$6,0)),"")</f>
        <v>780</v>
      </c>
      <c r="M488" s="29" t="n">
        <f aca="false">IF(L488="","",H488*L488)</f>
        <v>4680</v>
      </c>
      <c r="N488" s="29" t="n">
        <f aca="false">IF(M488="","",J488-M488)</f>
        <v>4020</v>
      </c>
      <c r="O488" s="30" t="n">
        <f aca="false">IFERROR(N488/J488,0)</f>
        <v>0.462068965517241</v>
      </c>
      <c r="P488" s="27"/>
      <c r="Q488" s="27" t="s">
        <v>153</v>
      </c>
      <c r="R488" s="27" t="s">
        <v>154</v>
      </c>
      <c r="S488" s="27" t="n">
        <v>23</v>
      </c>
      <c r="T488" s="27"/>
    </row>
    <row r="489" customFormat="false" ht="15" hidden="false" customHeight="false" outlineLevel="0" collapsed="false">
      <c r="A489" s="26" t="n">
        <v>46098</v>
      </c>
      <c r="B489" s="27" t="n">
        <v>2026</v>
      </c>
      <c r="C489" s="27" t="n">
        <v>3</v>
      </c>
      <c r="D489" s="27" t="s">
        <v>82</v>
      </c>
      <c r="E489" s="27" t="s">
        <v>91</v>
      </c>
      <c r="F489" s="27" t="s">
        <v>103</v>
      </c>
      <c r="G489" s="27" t="s">
        <v>117</v>
      </c>
      <c r="H489" s="28" t="n">
        <v>4</v>
      </c>
      <c r="I489" s="29" t="n">
        <v>1450</v>
      </c>
      <c r="J489" s="29" t="n">
        <v>5800</v>
      </c>
      <c r="K489" s="29" t="n">
        <f aca="false">H489*I489</f>
        <v>5800</v>
      </c>
      <c r="L489" s="29" t="n">
        <f aca="false">IFERROR(INDEX(Cat_Productos!$B$2:$B$6,MATCH(G489,Cat_Productos!$A$2:$A$6,0)),"")</f>
        <v>780</v>
      </c>
      <c r="M489" s="29" t="n">
        <f aca="false">IF(L489="","",H489*L489)</f>
        <v>3120</v>
      </c>
      <c r="N489" s="29" t="n">
        <f aca="false">IF(M489="","",J489-M489)</f>
        <v>2680</v>
      </c>
      <c r="O489" s="30" t="n">
        <f aca="false">IFERROR(N489/J489,0)</f>
        <v>0.462068965517241</v>
      </c>
      <c r="P489" s="27"/>
      <c r="Q489" s="27" t="s">
        <v>153</v>
      </c>
      <c r="R489" s="27" t="s">
        <v>154</v>
      </c>
      <c r="S489" s="27" t="n">
        <v>157</v>
      </c>
      <c r="T489" s="27"/>
    </row>
    <row r="490" customFormat="false" ht="15" hidden="false" customHeight="false" outlineLevel="0" collapsed="false">
      <c r="A490" s="31" t="n">
        <v>46098</v>
      </c>
      <c r="B490" s="32" t="n">
        <v>2026</v>
      </c>
      <c r="C490" s="32" t="n">
        <v>3</v>
      </c>
      <c r="D490" s="32" t="s">
        <v>82</v>
      </c>
      <c r="E490" s="32" t="s">
        <v>91</v>
      </c>
      <c r="F490" s="32" t="s">
        <v>103</v>
      </c>
      <c r="G490" s="32" t="s">
        <v>114</v>
      </c>
      <c r="H490" s="33" t="n">
        <v>-1</v>
      </c>
      <c r="I490" s="34" t="n">
        <v>24500</v>
      </c>
      <c r="J490" s="34" t="n">
        <v>-24500</v>
      </c>
      <c r="K490" s="34" t="n">
        <f aca="false">H490*I490</f>
        <v>-24500</v>
      </c>
      <c r="L490" s="34" t="n">
        <f aca="false">IFERROR(INDEX(Cat_Productos!$B$2:$B$6,MATCH(G490,Cat_Productos!$A$2:$A$6,0)),"")</f>
        <v>19200</v>
      </c>
      <c r="M490" s="34" t="n">
        <f aca="false">IF(L490="","",H490*L490)</f>
        <v>-19200</v>
      </c>
      <c r="N490" s="34" t="n">
        <f aca="false">IF(M490="","",J490-M490)</f>
        <v>-5300</v>
      </c>
      <c r="O490" s="35" t="n">
        <f aca="false">IFERROR(N490/J490,0)</f>
        <v>0.216326530612245</v>
      </c>
      <c r="P490" s="32" t="s">
        <v>155</v>
      </c>
      <c r="Q490" s="32" t="s">
        <v>153</v>
      </c>
      <c r="R490" s="32" t="s">
        <v>154</v>
      </c>
      <c r="S490" s="32" t="n">
        <v>225</v>
      </c>
      <c r="T490" s="32" t="s">
        <v>155</v>
      </c>
    </row>
    <row r="491" customFormat="false" ht="15" hidden="false" customHeight="false" outlineLevel="0" collapsed="false">
      <c r="A491" s="26" t="n">
        <v>46098</v>
      </c>
      <c r="B491" s="27" t="n">
        <v>2026</v>
      </c>
      <c r="C491" s="27" t="n">
        <v>3</v>
      </c>
      <c r="D491" s="27" t="s">
        <v>82</v>
      </c>
      <c r="E491" s="27" t="s">
        <v>92</v>
      </c>
      <c r="F491" s="27" t="s">
        <v>105</v>
      </c>
      <c r="G491" s="27" t="s">
        <v>114</v>
      </c>
      <c r="H491" s="28" t="n">
        <v>4</v>
      </c>
      <c r="I491" s="29" t="n">
        <v>24500</v>
      </c>
      <c r="J491" s="29" t="n">
        <v>98000</v>
      </c>
      <c r="K491" s="29" t="n">
        <f aca="false">H491*I491</f>
        <v>98000</v>
      </c>
      <c r="L491" s="29" t="n">
        <f aca="false">IFERROR(INDEX(Cat_Productos!$B$2:$B$6,MATCH(G491,Cat_Productos!$A$2:$A$6,0)),"")</f>
        <v>19200</v>
      </c>
      <c r="M491" s="29" t="n">
        <f aca="false">IF(L491="","",H491*L491)</f>
        <v>76800</v>
      </c>
      <c r="N491" s="29" t="n">
        <f aca="false">IF(M491="","",J491-M491)</f>
        <v>21200</v>
      </c>
      <c r="O491" s="30" t="n">
        <f aca="false">IFERROR(N491/J491,0)</f>
        <v>0.216326530612245</v>
      </c>
      <c r="P491" s="27"/>
      <c r="Q491" s="27" t="s">
        <v>153</v>
      </c>
      <c r="R491" s="27" t="s">
        <v>154</v>
      </c>
      <c r="S491" s="27" t="n">
        <v>3</v>
      </c>
      <c r="T491" s="27"/>
    </row>
    <row r="492" customFormat="false" ht="15" hidden="false" customHeight="false" outlineLevel="0" collapsed="false">
      <c r="A492" s="26" t="n">
        <v>46098</v>
      </c>
      <c r="B492" s="27" t="n">
        <v>2026</v>
      </c>
      <c r="C492" s="27" t="n">
        <v>3</v>
      </c>
      <c r="D492" s="27" t="s">
        <v>82</v>
      </c>
      <c r="E492" s="27" t="s">
        <v>91</v>
      </c>
      <c r="F492" s="27" t="s">
        <v>103</v>
      </c>
      <c r="G492" s="27" t="s">
        <v>116</v>
      </c>
      <c r="H492" s="28" t="n">
        <v>4</v>
      </c>
      <c r="I492" s="29" t="n">
        <v>620</v>
      </c>
      <c r="J492" s="29" t="n">
        <v>2480</v>
      </c>
      <c r="K492" s="29" t="n">
        <f aca="false">H492*I492</f>
        <v>2480</v>
      </c>
      <c r="L492" s="29" t="n">
        <f aca="false">IFERROR(INDEX(Cat_Productos!$B$2:$B$6,MATCH(G492,Cat_Productos!$A$2:$A$6,0)),"")</f>
        <v>290</v>
      </c>
      <c r="M492" s="29" t="n">
        <f aca="false">IF(L492="","",H492*L492)</f>
        <v>1160</v>
      </c>
      <c r="N492" s="29" t="n">
        <f aca="false">IF(M492="","",J492-M492)</f>
        <v>1320</v>
      </c>
      <c r="O492" s="30" t="n">
        <f aca="false">IFERROR(N492/J492,0)</f>
        <v>0.532258064516129</v>
      </c>
      <c r="P492" s="27"/>
      <c r="Q492" s="27" t="s">
        <v>153</v>
      </c>
      <c r="R492" s="27" t="s">
        <v>154</v>
      </c>
      <c r="S492" s="27" t="n">
        <v>163</v>
      </c>
      <c r="T492" s="27"/>
    </row>
    <row r="493" customFormat="false" ht="15" hidden="false" customHeight="false" outlineLevel="0" collapsed="false">
      <c r="A493" s="26" t="n">
        <v>46098</v>
      </c>
      <c r="B493" s="27" t="n">
        <v>2026</v>
      </c>
      <c r="C493" s="27" t="n">
        <v>3</v>
      </c>
      <c r="D493" s="27" t="s">
        <v>82</v>
      </c>
      <c r="E493" s="27" t="s">
        <v>91</v>
      </c>
      <c r="F493" s="27" t="s">
        <v>107</v>
      </c>
      <c r="G493" s="27" t="s">
        <v>116</v>
      </c>
      <c r="H493" s="28" t="n">
        <v>4</v>
      </c>
      <c r="I493" s="29" t="n">
        <v>620</v>
      </c>
      <c r="J493" s="29" t="n">
        <v>2480</v>
      </c>
      <c r="K493" s="29" t="n">
        <f aca="false">H493*I493</f>
        <v>2480</v>
      </c>
      <c r="L493" s="29" t="n">
        <f aca="false">IFERROR(INDEX(Cat_Productos!$B$2:$B$6,MATCH(G493,Cat_Productos!$A$2:$A$6,0)),"")</f>
        <v>290</v>
      </c>
      <c r="M493" s="29" t="n">
        <f aca="false">IF(L493="","",H493*L493)</f>
        <v>1160</v>
      </c>
      <c r="N493" s="29" t="n">
        <f aca="false">IF(M493="","",J493-M493)</f>
        <v>1320</v>
      </c>
      <c r="O493" s="30" t="n">
        <f aca="false">IFERROR(N493/J493,0)</f>
        <v>0.532258064516129</v>
      </c>
      <c r="P493" s="27"/>
      <c r="Q493" s="27" t="s">
        <v>153</v>
      </c>
      <c r="R493" s="27" t="s">
        <v>154</v>
      </c>
      <c r="S493" s="27" t="n">
        <v>125</v>
      </c>
      <c r="T493" s="27"/>
    </row>
    <row r="494" customFormat="false" ht="15" hidden="false" customHeight="false" outlineLevel="0" collapsed="false">
      <c r="A494" s="26" t="n">
        <v>46098</v>
      </c>
      <c r="B494" s="27" t="n">
        <v>2026</v>
      </c>
      <c r="C494" s="27" t="n">
        <v>3</v>
      </c>
      <c r="D494" s="27" t="s">
        <v>82</v>
      </c>
      <c r="E494" s="27" t="s">
        <v>93</v>
      </c>
      <c r="F494" s="27" t="s">
        <v>108</v>
      </c>
      <c r="G494" s="27" t="s">
        <v>116</v>
      </c>
      <c r="H494" s="28" t="n">
        <v>4</v>
      </c>
      <c r="I494" s="29" t="n">
        <v>620</v>
      </c>
      <c r="J494" s="29" t="n">
        <v>2480</v>
      </c>
      <c r="K494" s="29" t="n">
        <f aca="false">H494*I494</f>
        <v>2480</v>
      </c>
      <c r="L494" s="29" t="n">
        <f aca="false">IFERROR(INDEX(Cat_Productos!$B$2:$B$6,MATCH(G494,Cat_Productos!$A$2:$A$6,0)),"")</f>
        <v>290</v>
      </c>
      <c r="M494" s="29" t="n">
        <f aca="false">IF(L494="","",H494*L494)</f>
        <v>1160</v>
      </c>
      <c r="N494" s="29" t="n">
        <f aca="false">IF(M494="","",J494-M494)</f>
        <v>1320</v>
      </c>
      <c r="O494" s="30" t="n">
        <f aca="false">IFERROR(N494/J494,0)</f>
        <v>0.532258064516129</v>
      </c>
      <c r="P494" s="27"/>
      <c r="Q494" s="27" t="s">
        <v>153</v>
      </c>
      <c r="R494" s="27" t="s">
        <v>154</v>
      </c>
      <c r="S494" s="27" t="n">
        <v>84</v>
      </c>
      <c r="T494" s="27"/>
    </row>
    <row r="495" customFormat="false" ht="15" hidden="false" customHeight="false" outlineLevel="0" collapsed="false">
      <c r="A495" s="26" t="n">
        <v>46098</v>
      </c>
      <c r="B495" s="27" t="n">
        <v>2026</v>
      </c>
      <c r="C495" s="27" t="n">
        <v>3</v>
      </c>
      <c r="D495" s="27" t="s">
        <v>82</v>
      </c>
      <c r="E495" s="27" t="s">
        <v>92</v>
      </c>
      <c r="F495" s="27" t="s">
        <v>105</v>
      </c>
      <c r="G495" s="27" t="s">
        <v>116</v>
      </c>
      <c r="H495" s="28" t="n">
        <v>2</v>
      </c>
      <c r="I495" s="29" t="n">
        <v>620</v>
      </c>
      <c r="J495" s="29" t="n">
        <v>1240</v>
      </c>
      <c r="K495" s="29" t="n">
        <f aca="false">H495*I495</f>
        <v>1240</v>
      </c>
      <c r="L495" s="29" t="n">
        <f aca="false">IFERROR(INDEX(Cat_Productos!$B$2:$B$6,MATCH(G495,Cat_Productos!$A$2:$A$6,0)),"")</f>
        <v>290</v>
      </c>
      <c r="M495" s="29" t="n">
        <f aca="false">IF(L495="","",H495*L495)</f>
        <v>580</v>
      </c>
      <c r="N495" s="29" t="n">
        <f aca="false">IF(M495="","",J495-M495)</f>
        <v>660</v>
      </c>
      <c r="O495" s="30" t="n">
        <f aca="false">IFERROR(N495/J495,0)</f>
        <v>0.532258064516129</v>
      </c>
      <c r="P495" s="27"/>
      <c r="Q495" s="27" t="s">
        <v>153</v>
      </c>
      <c r="R495" s="27" t="s">
        <v>154</v>
      </c>
      <c r="S495" s="27" t="n">
        <v>55</v>
      </c>
      <c r="T495" s="27"/>
    </row>
    <row r="496" customFormat="false" ht="15" hidden="false" customHeight="false" outlineLevel="0" collapsed="false">
      <c r="A496" s="26" t="n">
        <v>46098</v>
      </c>
      <c r="B496" s="27" t="n">
        <v>2026</v>
      </c>
      <c r="C496" s="27" t="n">
        <v>3</v>
      </c>
      <c r="D496" s="27" t="s">
        <v>82</v>
      </c>
      <c r="E496" s="27" t="s">
        <v>91</v>
      </c>
      <c r="F496" s="27" t="s">
        <v>107</v>
      </c>
      <c r="G496" s="27" t="s">
        <v>116</v>
      </c>
      <c r="H496" s="28" t="n">
        <v>4</v>
      </c>
      <c r="I496" s="29" t="n">
        <v>620</v>
      </c>
      <c r="J496" s="29" t="n">
        <v>2480</v>
      </c>
      <c r="K496" s="29" t="n">
        <f aca="false">H496*I496</f>
        <v>2480</v>
      </c>
      <c r="L496" s="29" t="n">
        <f aca="false">IFERROR(INDEX(Cat_Productos!$B$2:$B$6,MATCH(G496,Cat_Productos!$A$2:$A$6,0)),"")</f>
        <v>290</v>
      </c>
      <c r="M496" s="29" t="n">
        <f aca="false">IF(L496="","",H496*L496)</f>
        <v>1160</v>
      </c>
      <c r="N496" s="29" t="n">
        <f aca="false">IF(M496="","",J496-M496)</f>
        <v>1320</v>
      </c>
      <c r="O496" s="30" t="n">
        <f aca="false">IFERROR(N496/J496,0)</f>
        <v>0.532258064516129</v>
      </c>
      <c r="P496" s="27"/>
      <c r="Q496" s="27" t="s">
        <v>153</v>
      </c>
      <c r="R496" s="27" t="s">
        <v>154</v>
      </c>
      <c r="S496" s="27" t="n">
        <v>121</v>
      </c>
      <c r="T496" s="27"/>
    </row>
    <row r="497" customFormat="false" ht="15" hidden="false" customHeight="false" outlineLevel="0" collapsed="false">
      <c r="A497" s="26" t="n">
        <v>46098</v>
      </c>
      <c r="B497" s="27" t="n">
        <v>2026</v>
      </c>
      <c r="C497" s="27" t="n">
        <v>3</v>
      </c>
      <c r="D497" s="27" t="s">
        <v>82</v>
      </c>
      <c r="E497" s="27" t="s">
        <v>91</v>
      </c>
      <c r="F497" s="27" t="s">
        <v>107</v>
      </c>
      <c r="G497" s="27" t="s">
        <v>117</v>
      </c>
      <c r="H497" s="28" t="n">
        <v>6</v>
      </c>
      <c r="I497" s="29" t="n">
        <v>1450</v>
      </c>
      <c r="J497" s="29" t="n">
        <v>8700</v>
      </c>
      <c r="K497" s="29" t="n">
        <f aca="false">H497*I497</f>
        <v>8700</v>
      </c>
      <c r="L497" s="29" t="n">
        <f aca="false">IFERROR(INDEX(Cat_Productos!$B$2:$B$6,MATCH(G497,Cat_Productos!$A$2:$A$6,0)),"")</f>
        <v>780</v>
      </c>
      <c r="M497" s="29" t="n">
        <f aca="false">IF(L497="","",H497*L497)</f>
        <v>4680</v>
      </c>
      <c r="N497" s="29" t="n">
        <f aca="false">IF(M497="","",J497-M497)</f>
        <v>4020</v>
      </c>
      <c r="O497" s="30" t="n">
        <f aca="false">IFERROR(N497/J497,0)</f>
        <v>0.462068965517241</v>
      </c>
      <c r="P497" s="27"/>
      <c r="Q497" s="27" t="s">
        <v>153</v>
      </c>
      <c r="R497" s="27" t="s">
        <v>154</v>
      </c>
      <c r="S497" s="27" t="n">
        <v>115</v>
      </c>
      <c r="T497" s="27"/>
    </row>
    <row r="498" customFormat="false" ht="15" hidden="false" customHeight="false" outlineLevel="0" collapsed="false">
      <c r="A498" s="26" t="n">
        <v>46098</v>
      </c>
      <c r="B498" s="27" t="n">
        <v>2026</v>
      </c>
      <c r="C498" s="27" t="n">
        <v>3</v>
      </c>
      <c r="D498" s="27" t="s">
        <v>82</v>
      </c>
      <c r="E498" s="27" t="s">
        <v>92</v>
      </c>
      <c r="F498" s="27" t="s">
        <v>105</v>
      </c>
      <c r="G498" s="27" t="s">
        <v>114</v>
      </c>
      <c r="H498" s="28" t="n">
        <v>1</v>
      </c>
      <c r="I498" s="29" t="n">
        <v>24500</v>
      </c>
      <c r="J498" s="29" t="n">
        <v>24500</v>
      </c>
      <c r="K498" s="29" t="n">
        <f aca="false">H498*I498</f>
        <v>24500</v>
      </c>
      <c r="L498" s="29" t="n">
        <f aca="false">IFERROR(INDEX(Cat_Productos!$B$2:$B$6,MATCH(G498,Cat_Productos!$A$2:$A$6,0)),"")</f>
        <v>19200</v>
      </c>
      <c r="M498" s="29" t="n">
        <f aca="false">IF(L498="","",H498*L498)</f>
        <v>19200</v>
      </c>
      <c r="N498" s="29" t="n">
        <f aca="false">IF(M498="","",J498-M498)</f>
        <v>5300</v>
      </c>
      <c r="O498" s="30" t="n">
        <f aca="false">IFERROR(N498/J498,0)</f>
        <v>0.216326530612245</v>
      </c>
      <c r="P498" s="27"/>
      <c r="Q498" s="27" t="s">
        <v>153</v>
      </c>
      <c r="R498" s="27" t="s">
        <v>154</v>
      </c>
      <c r="S498" s="27" t="n">
        <v>7</v>
      </c>
      <c r="T498" s="27"/>
    </row>
    <row r="499" customFormat="false" ht="15" hidden="false" customHeight="false" outlineLevel="0" collapsed="false">
      <c r="A499" s="26" t="n">
        <v>46098</v>
      </c>
      <c r="B499" s="27" t="n">
        <v>2026</v>
      </c>
      <c r="C499" s="27" t="n">
        <v>3</v>
      </c>
      <c r="D499" s="27" t="s">
        <v>82</v>
      </c>
      <c r="E499" s="27" t="s">
        <v>93</v>
      </c>
      <c r="F499" s="27" t="s">
        <v>108</v>
      </c>
      <c r="G499" s="27" t="s">
        <v>117</v>
      </c>
      <c r="H499" s="28" t="n">
        <v>4</v>
      </c>
      <c r="I499" s="29" t="n">
        <v>1450</v>
      </c>
      <c r="J499" s="29" t="n">
        <v>5800</v>
      </c>
      <c r="K499" s="29" t="n">
        <f aca="false">H499*I499</f>
        <v>5800</v>
      </c>
      <c r="L499" s="29" t="n">
        <f aca="false">IFERROR(INDEX(Cat_Productos!$B$2:$B$6,MATCH(G499,Cat_Productos!$A$2:$A$6,0)),"")</f>
        <v>780</v>
      </c>
      <c r="M499" s="29" t="n">
        <f aca="false">IF(L499="","",H499*L499)</f>
        <v>3120</v>
      </c>
      <c r="N499" s="29" t="n">
        <f aca="false">IF(M499="","",J499-M499)</f>
        <v>2680</v>
      </c>
      <c r="O499" s="30" t="n">
        <f aca="false">IFERROR(N499/J499,0)</f>
        <v>0.462068965517241</v>
      </c>
      <c r="P499" s="27"/>
      <c r="Q499" s="27" t="s">
        <v>153</v>
      </c>
      <c r="R499" s="27" t="s">
        <v>154</v>
      </c>
      <c r="S499" s="27" t="n">
        <v>66</v>
      </c>
      <c r="T499" s="27"/>
    </row>
    <row r="500" customFormat="false" ht="15" hidden="false" customHeight="false" outlineLevel="0" collapsed="false">
      <c r="A500" s="26" t="n">
        <v>46098</v>
      </c>
      <c r="B500" s="27" t="n">
        <v>2026</v>
      </c>
      <c r="C500" s="27" t="n">
        <v>3</v>
      </c>
      <c r="D500" s="27" t="s">
        <v>82</v>
      </c>
      <c r="E500" s="27" t="s">
        <v>93</v>
      </c>
      <c r="F500" s="27" t="s">
        <v>108</v>
      </c>
      <c r="G500" s="27" t="s">
        <v>117</v>
      </c>
      <c r="H500" s="28" t="n">
        <v>6</v>
      </c>
      <c r="I500" s="29" t="n">
        <v>1450</v>
      </c>
      <c r="J500" s="29" t="n">
        <v>8700</v>
      </c>
      <c r="K500" s="29" t="n">
        <f aca="false">H500*I500</f>
        <v>8700</v>
      </c>
      <c r="L500" s="29" t="n">
        <f aca="false">IFERROR(INDEX(Cat_Productos!$B$2:$B$6,MATCH(G500,Cat_Productos!$A$2:$A$6,0)),"")</f>
        <v>780</v>
      </c>
      <c r="M500" s="29" t="n">
        <f aca="false">IF(L500="","",H500*L500)</f>
        <v>4680</v>
      </c>
      <c r="N500" s="29" t="n">
        <f aca="false">IF(M500="","",J500-M500)</f>
        <v>4020</v>
      </c>
      <c r="O500" s="30" t="n">
        <f aca="false">IFERROR(N500/J500,0)</f>
        <v>0.462068965517241</v>
      </c>
      <c r="P500" s="27"/>
      <c r="Q500" s="27" t="s">
        <v>153</v>
      </c>
      <c r="R500" s="27" t="s">
        <v>154</v>
      </c>
      <c r="S500" s="27" t="n">
        <v>74</v>
      </c>
      <c r="T500" s="27"/>
    </row>
    <row r="501" customFormat="false" ht="15" hidden="false" customHeight="false" outlineLevel="0" collapsed="false">
      <c r="A501" s="26" t="n">
        <v>46098</v>
      </c>
      <c r="B501" s="27" t="n">
        <v>2026</v>
      </c>
      <c r="C501" s="27" t="n">
        <v>3</v>
      </c>
      <c r="D501" s="27" t="s">
        <v>82</v>
      </c>
      <c r="E501" s="27" t="s">
        <v>93</v>
      </c>
      <c r="F501" s="27" t="s">
        <v>108</v>
      </c>
      <c r="G501" s="27" t="s">
        <v>117</v>
      </c>
      <c r="H501" s="28" t="n">
        <v>6</v>
      </c>
      <c r="I501" s="29" t="n">
        <v>1450</v>
      </c>
      <c r="J501" s="29" t="n">
        <v>8700</v>
      </c>
      <c r="K501" s="29" t="n">
        <f aca="false">H501*I501</f>
        <v>8700</v>
      </c>
      <c r="L501" s="29" t="n">
        <f aca="false">IFERROR(INDEX(Cat_Productos!$B$2:$B$6,MATCH(G501,Cat_Productos!$A$2:$A$6,0)),"")</f>
        <v>780</v>
      </c>
      <c r="M501" s="29" t="n">
        <f aca="false">IF(L501="","",H501*L501)</f>
        <v>4680</v>
      </c>
      <c r="N501" s="29" t="n">
        <f aca="false">IF(M501="","",J501-M501)</f>
        <v>4020</v>
      </c>
      <c r="O501" s="30" t="n">
        <f aca="false">IFERROR(N501/J501,0)</f>
        <v>0.462068965517241</v>
      </c>
      <c r="P501" s="27"/>
      <c r="Q501" s="27" t="s">
        <v>153</v>
      </c>
      <c r="R501" s="27" t="s">
        <v>154</v>
      </c>
      <c r="S501" s="27" t="n">
        <v>78</v>
      </c>
      <c r="T501" s="27"/>
    </row>
    <row r="502" customFormat="false" ht="15" hidden="false" customHeight="false" outlineLevel="0" collapsed="false">
      <c r="A502" s="26" t="n">
        <v>46098</v>
      </c>
      <c r="B502" s="27" t="n">
        <v>2026</v>
      </c>
      <c r="C502" s="27" t="n">
        <v>3</v>
      </c>
      <c r="D502" s="27" t="s">
        <v>82</v>
      </c>
      <c r="E502" s="27" t="s">
        <v>92</v>
      </c>
      <c r="F502" s="27" t="s">
        <v>106</v>
      </c>
      <c r="G502" s="27" t="s">
        <v>117</v>
      </c>
      <c r="H502" s="28" t="n">
        <v>2</v>
      </c>
      <c r="I502" s="29" t="n">
        <v>1450</v>
      </c>
      <c r="J502" s="29" t="n">
        <v>2900</v>
      </c>
      <c r="K502" s="29" t="n">
        <f aca="false">H502*I502</f>
        <v>2900</v>
      </c>
      <c r="L502" s="29" t="n">
        <f aca="false">IFERROR(INDEX(Cat_Productos!$B$2:$B$6,MATCH(G502,Cat_Productos!$A$2:$A$6,0)),"")</f>
        <v>780</v>
      </c>
      <c r="M502" s="29" t="n">
        <f aca="false">IF(L502="","",H502*L502)</f>
        <v>1560</v>
      </c>
      <c r="N502" s="29" t="n">
        <f aca="false">IF(M502="","",J502-M502)</f>
        <v>1340</v>
      </c>
      <c r="O502" s="30" t="n">
        <f aca="false">IFERROR(N502/J502,0)</f>
        <v>0.462068965517241</v>
      </c>
      <c r="P502" s="27"/>
      <c r="Q502" s="27" t="s">
        <v>153</v>
      </c>
      <c r="R502" s="27" t="s">
        <v>154</v>
      </c>
      <c r="S502" s="27" t="n">
        <v>192</v>
      </c>
      <c r="T502" s="27"/>
    </row>
    <row r="503" customFormat="false" ht="15" hidden="false" customHeight="false" outlineLevel="0" collapsed="false">
      <c r="A503" s="26" t="n">
        <v>46098</v>
      </c>
      <c r="B503" s="27" t="n">
        <v>2026</v>
      </c>
      <c r="C503" s="27" t="n">
        <v>3</v>
      </c>
      <c r="D503" s="27" t="s">
        <v>82</v>
      </c>
      <c r="E503" s="27" t="s">
        <v>93</v>
      </c>
      <c r="F503" s="27" t="s">
        <v>104</v>
      </c>
      <c r="G503" s="27" t="s">
        <v>117</v>
      </c>
      <c r="H503" s="28" t="n">
        <v>6</v>
      </c>
      <c r="I503" s="29" t="n">
        <v>1450</v>
      </c>
      <c r="J503" s="29" t="n">
        <v>8700</v>
      </c>
      <c r="K503" s="29" t="n">
        <f aca="false">H503*I503</f>
        <v>8700</v>
      </c>
      <c r="L503" s="29" t="n">
        <f aca="false">IFERROR(INDEX(Cat_Productos!$B$2:$B$6,MATCH(G503,Cat_Productos!$A$2:$A$6,0)),"")</f>
        <v>780</v>
      </c>
      <c r="M503" s="29" t="n">
        <f aca="false">IF(L503="","",H503*L503)</f>
        <v>4680</v>
      </c>
      <c r="N503" s="29" t="n">
        <f aca="false">IF(M503="","",J503-M503)</f>
        <v>4020</v>
      </c>
      <c r="O503" s="30" t="n">
        <f aca="false">IFERROR(N503/J503,0)</f>
        <v>0.462068965517241</v>
      </c>
      <c r="P503" s="27"/>
      <c r="Q503" s="27" t="s">
        <v>153</v>
      </c>
      <c r="R503" s="27" t="s">
        <v>154</v>
      </c>
      <c r="S503" s="27" t="n">
        <v>213</v>
      </c>
      <c r="T503" s="27"/>
    </row>
    <row r="504" customFormat="false" ht="15" hidden="false" customHeight="false" outlineLevel="0" collapsed="false">
      <c r="A504" s="26" t="n">
        <v>46100</v>
      </c>
      <c r="B504" s="27" t="n">
        <v>2026</v>
      </c>
      <c r="C504" s="27" t="n">
        <v>3</v>
      </c>
      <c r="D504" s="27" t="s">
        <v>82</v>
      </c>
      <c r="E504" s="27" t="s">
        <v>92</v>
      </c>
      <c r="F504" s="27" t="s">
        <v>106</v>
      </c>
      <c r="G504" s="27" t="s">
        <v>116</v>
      </c>
      <c r="H504" s="28" t="n">
        <v>6</v>
      </c>
      <c r="I504" s="29" t="n">
        <v>620</v>
      </c>
      <c r="J504" s="29" t="n">
        <v>3720</v>
      </c>
      <c r="K504" s="29" t="n">
        <f aca="false">H504*I504</f>
        <v>3720</v>
      </c>
      <c r="L504" s="29" t="n">
        <f aca="false">IFERROR(INDEX(Cat_Productos!$B$2:$B$6,MATCH(G504,Cat_Productos!$A$2:$A$6,0)),"")</f>
        <v>290</v>
      </c>
      <c r="M504" s="29" t="n">
        <f aca="false">IF(L504="","",H504*L504)</f>
        <v>1740</v>
      </c>
      <c r="N504" s="29" t="n">
        <f aca="false">IF(M504="","",J504-M504)</f>
        <v>1980</v>
      </c>
      <c r="O504" s="30" t="n">
        <f aca="false">IFERROR(N504/J504,0)</f>
        <v>0.532258064516129</v>
      </c>
      <c r="P504" s="27"/>
      <c r="Q504" s="27" t="s">
        <v>153</v>
      </c>
      <c r="R504" s="27" t="s">
        <v>154</v>
      </c>
      <c r="S504" s="27" t="n">
        <v>199</v>
      </c>
      <c r="T504" s="27"/>
    </row>
    <row r="505" customFormat="false" ht="15" hidden="false" customHeight="false" outlineLevel="0" collapsed="false">
      <c r="A505" s="26" t="n">
        <v>46100</v>
      </c>
      <c r="B505" s="27" t="n">
        <v>2026</v>
      </c>
      <c r="C505" s="27" t="n">
        <v>3</v>
      </c>
      <c r="D505" s="27" t="s">
        <v>82</v>
      </c>
      <c r="E505" s="27" t="s">
        <v>91</v>
      </c>
      <c r="F505" s="27" t="s">
        <v>103</v>
      </c>
      <c r="G505" s="27" t="s">
        <v>116</v>
      </c>
      <c r="H505" s="28" t="n">
        <v>6</v>
      </c>
      <c r="I505" s="29" t="n">
        <v>620</v>
      </c>
      <c r="J505" s="29" t="n">
        <v>3720</v>
      </c>
      <c r="K505" s="29" t="n">
        <f aca="false">H505*I505</f>
        <v>3720</v>
      </c>
      <c r="L505" s="29" t="n">
        <f aca="false">IFERROR(INDEX(Cat_Productos!$B$2:$B$6,MATCH(G505,Cat_Productos!$A$2:$A$6,0)),"")</f>
        <v>290</v>
      </c>
      <c r="M505" s="29" t="n">
        <f aca="false">IF(L505="","",H505*L505)</f>
        <v>1740</v>
      </c>
      <c r="N505" s="29" t="n">
        <f aca="false">IF(M505="","",J505-M505)</f>
        <v>1980</v>
      </c>
      <c r="O505" s="30" t="n">
        <f aca="false">IFERROR(N505/J505,0)</f>
        <v>0.532258064516129</v>
      </c>
      <c r="P505" s="27"/>
      <c r="Q505" s="27" t="s">
        <v>153</v>
      </c>
      <c r="R505" s="27" t="s">
        <v>154</v>
      </c>
      <c r="S505" s="27" t="n">
        <v>176</v>
      </c>
      <c r="T505" s="27"/>
    </row>
    <row r="506" customFormat="false" ht="15" hidden="false" customHeight="false" outlineLevel="0" collapsed="false">
      <c r="A506" s="26" t="n">
        <v>46100</v>
      </c>
      <c r="B506" s="27" t="n">
        <v>2026</v>
      </c>
      <c r="C506" s="27" t="n">
        <v>3</v>
      </c>
      <c r="D506" s="27" t="s">
        <v>82</v>
      </c>
      <c r="E506" s="27" t="s">
        <v>91</v>
      </c>
      <c r="F506" s="27" t="s">
        <v>103</v>
      </c>
      <c r="G506" s="27" t="s">
        <v>117</v>
      </c>
      <c r="H506" s="28" t="n">
        <v>4</v>
      </c>
      <c r="I506" s="29" t="n">
        <v>1450</v>
      </c>
      <c r="J506" s="29" t="n">
        <v>5800</v>
      </c>
      <c r="K506" s="29" t="n">
        <f aca="false">H506*I506</f>
        <v>5800</v>
      </c>
      <c r="L506" s="29" t="n">
        <f aca="false">IFERROR(INDEX(Cat_Productos!$B$2:$B$6,MATCH(G506,Cat_Productos!$A$2:$A$6,0)),"")</f>
        <v>780</v>
      </c>
      <c r="M506" s="29" t="n">
        <f aca="false">IF(L506="","",H506*L506)</f>
        <v>3120</v>
      </c>
      <c r="N506" s="29" t="n">
        <f aca="false">IF(M506="","",J506-M506)</f>
        <v>2680</v>
      </c>
      <c r="O506" s="30" t="n">
        <f aca="false">IFERROR(N506/J506,0)</f>
        <v>0.462068965517241</v>
      </c>
      <c r="P506" s="27"/>
      <c r="Q506" s="27" t="s">
        <v>153</v>
      </c>
      <c r="R506" s="27" t="s">
        <v>154</v>
      </c>
      <c r="S506" s="27" t="n">
        <v>158</v>
      </c>
      <c r="T506" s="27"/>
    </row>
    <row r="507" customFormat="false" ht="15" hidden="false" customHeight="false" outlineLevel="0" collapsed="false">
      <c r="A507" s="26" t="n">
        <v>46100</v>
      </c>
      <c r="B507" s="27" t="n">
        <v>2026</v>
      </c>
      <c r="C507" s="27" t="n">
        <v>3</v>
      </c>
      <c r="D507" s="27" t="s">
        <v>82</v>
      </c>
      <c r="E507" s="27" t="s">
        <v>91</v>
      </c>
      <c r="F507" s="27" t="s">
        <v>103</v>
      </c>
      <c r="G507" s="27" t="s">
        <v>116</v>
      </c>
      <c r="H507" s="28" t="n">
        <v>6</v>
      </c>
      <c r="I507" s="29" t="n">
        <v>620</v>
      </c>
      <c r="J507" s="29" t="n">
        <v>3720</v>
      </c>
      <c r="K507" s="29" t="n">
        <f aca="false">H507*I507</f>
        <v>3720</v>
      </c>
      <c r="L507" s="29" t="n">
        <f aca="false">IFERROR(INDEX(Cat_Productos!$B$2:$B$6,MATCH(G507,Cat_Productos!$A$2:$A$6,0)),"")</f>
        <v>290</v>
      </c>
      <c r="M507" s="29" t="n">
        <f aca="false">IF(L507="","",H507*L507)</f>
        <v>1740</v>
      </c>
      <c r="N507" s="29" t="n">
        <f aca="false">IF(M507="","",J507-M507)</f>
        <v>1980</v>
      </c>
      <c r="O507" s="30" t="n">
        <f aca="false">IFERROR(N507/J507,0)</f>
        <v>0.532258064516129</v>
      </c>
      <c r="P507" s="27"/>
      <c r="Q507" s="27" t="s">
        <v>153</v>
      </c>
      <c r="R507" s="27" t="s">
        <v>154</v>
      </c>
      <c r="S507" s="27" t="n">
        <v>182</v>
      </c>
      <c r="T507" s="27"/>
    </row>
    <row r="508" customFormat="false" ht="15" hidden="false" customHeight="false" outlineLevel="0" collapsed="false">
      <c r="A508" s="26" t="n">
        <v>46100</v>
      </c>
      <c r="B508" s="27" t="n">
        <v>2026</v>
      </c>
      <c r="C508" s="27" t="n">
        <v>3</v>
      </c>
      <c r="D508" s="27" t="s">
        <v>82</v>
      </c>
      <c r="E508" s="27" t="s">
        <v>91</v>
      </c>
      <c r="F508" s="27" t="s">
        <v>103</v>
      </c>
      <c r="G508" s="27" t="s">
        <v>116</v>
      </c>
      <c r="H508" s="28" t="n">
        <v>4</v>
      </c>
      <c r="I508" s="29" t="n">
        <v>620</v>
      </c>
      <c r="J508" s="29" t="n">
        <v>2480</v>
      </c>
      <c r="K508" s="29" t="n">
        <f aca="false">H508*I508</f>
        <v>2480</v>
      </c>
      <c r="L508" s="29" t="n">
        <f aca="false">IFERROR(INDEX(Cat_Productos!$B$2:$B$6,MATCH(G508,Cat_Productos!$A$2:$A$6,0)),"")</f>
        <v>290</v>
      </c>
      <c r="M508" s="29" t="n">
        <f aca="false">IF(L508="","",H508*L508)</f>
        <v>1160</v>
      </c>
      <c r="N508" s="29" t="n">
        <f aca="false">IF(M508="","",J508-M508)</f>
        <v>1320</v>
      </c>
      <c r="O508" s="30" t="n">
        <f aca="false">IFERROR(N508/J508,0)</f>
        <v>0.532258064516129</v>
      </c>
      <c r="P508" s="27"/>
      <c r="Q508" s="27" t="s">
        <v>153</v>
      </c>
      <c r="R508" s="27" t="s">
        <v>154</v>
      </c>
      <c r="S508" s="27" t="n">
        <v>184</v>
      </c>
      <c r="T508" s="27"/>
    </row>
    <row r="509" customFormat="false" ht="15" hidden="false" customHeight="false" outlineLevel="0" collapsed="false">
      <c r="A509" s="26" t="n">
        <v>46100</v>
      </c>
      <c r="B509" s="27" t="n">
        <v>2026</v>
      </c>
      <c r="C509" s="27" t="n">
        <v>3</v>
      </c>
      <c r="D509" s="27" t="s">
        <v>82</v>
      </c>
      <c r="E509" s="27" t="s">
        <v>92</v>
      </c>
      <c r="F509" s="27" t="s">
        <v>106</v>
      </c>
      <c r="G509" s="27" t="s">
        <v>117</v>
      </c>
      <c r="H509" s="28" t="n">
        <v>4</v>
      </c>
      <c r="I509" s="29" t="n">
        <v>1450</v>
      </c>
      <c r="J509" s="29" t="n">
        <v>5800</v>
      </c>
      <c r="K509" s="29" t="n">
        <f aca="false">H509*I509</f>
        <v>5800</v>
      </c>
      <c r="L509" s="29" t="n">
        <f aca="false">IFERROR(INDEX(Cat_Productos!$B$2:$B$6,MATCH(G509,Cat_Productos!$A$2:$A$6,0)),"")</f>
        <v>780</v>
      </c>
      <c r="M509" s="29" t="n">
        <f aca="false">IF(L509="","",H509*L509)</f>
        <v>3120</v>
      </c>
      <c r="N509" s="29" t="n">
        <f aca="false">IF(M509="","",J509-M509)</f>
        <v>2680</v>
      </c>
      <c r="O509" s="30" t="n">
        <f aca="false">IFERROR(N509/J509,0)</f>
        <v>0.462068965517241</v>
      </c>
      <c r="P509" s="27"/>
      <c r="Q509" s="27" t="s">
        <v>153</v>
      </c>
      <c r="R509" s="27" t="s">
        <v>154</v>
      </c>
      <c r="S509" s="27" t="n">
        <v>191</v>
      </c>
      <c r="T509" s="27"/>
    </row>
    <row r="510" customFormat="false" ht="15" hidden="false" customHeight="false" outlineLevel="0" collapsed="false">
      <c r="A510" s="26" t="n">
        <v>46100</v>
      </c>
      <c r="B510" s="27" t="n">
        <v>2026</v>
      </c>
      <c r="C510" s="27" t="n">
        <v>3</v>
      </c>
      <c r="D510" s="27" t="s">
        <v>82</v>
      </c>
      <c r="E510" s="27" t="s">
        <v>92</v>
      </c>
      <c r="F510" s="27" t="s">
        <v>106</v>
      </c>
      <c r="G510" s="27" t="s">
        <v>114</v>
      </c>
      <c r="H510" s="28" t="n">
        <v>2</v>
      </c>
      <c r="I510" s="29" t="n">
        <v>24500</v>
      </c>
      <c r="J510" s="29" t="n">
        <v>49000</v>
      </c>
      <c r="K510" s="29" t="n">
        <f aca="false">H510*I510</f>
        <v>49000</v>
      </c>
      <c r="L510" s="29" t="n">
        <f aca="false">IFERROR(INDEX(Cat_Productos!$B$2:$B$6,MATCH(G510,Cat_Productos!$A$2:$A$6,0)),"")</f>
        <v>19200</v>
      </c>
      <c r="M510" s="29" t="n">
        <f aca="false">IF(L510="","",H510*L510)</f>
        <v>38400</v>
      </c>
      <c r="N510" s="29" t="n">
        <f aca="false">IF(M510="","",J510-M510)</f>
        <v>10600</v>
      </c>
      <c r="O510" s="30" t="n">
        <f aca="false">IFERROR(N510/J510,0)</f>
        <v>0.216326530612245</v>
      </c>
      <c r="P510" s="27"/>
      <c r="Q510" s="27" t="s">
        <v>153</v>
      </c>
      <c r="R510" s="27" t="s">
        <v>154</v>
      </c>
      <c r="S510" s="27" t="n">
        <v>189</v>
      </c>
      <c r="T510" s="27"/>
    </row>
    <row r="511" customFormat="false" ht="15" hidden="false" customHeight="false" outlineLevel="0" collapsed="false">
      <c r="A511" s="26" t="n">
        <v>46100</v>
      </c>
      <c r="B511" s="27" t="n">
        <v>2026</v>
      </c>
      <c r="C511" s="27" t="n">
        <v>3</v>
      </c>
      <c r="D511" s="27" t="s">
        <v>82</v>
      </c>
      <c r="E511" s="27" t="s">
        <v>93</v>
      </c>
      <c r="F511" s="27" t="s">
        <v>108</v>
      </c>
      <c r="G511" s="27" t="s">
        <v>116</v>
      </c>
      <c r="H511" s="28" t="n">
        <v>6</v>
      </c>
      <c r="I511" s="29" t="n">
        <v>620</v>
      </c>
      <c r="J511" s="29" t="n">
        <v>3720</v>
      </c>
      <c r="K511" s="29" t="n">
        <f aca="false">H511*I511</f>
        <v>3720</v>
      </c>
      <c r="L511" s="29" t="n">
        <f aca="false">IFERROR(INDEX(Cat_Productos!$B$2:$B$6,MATCH(G511,Cat_Productos!$A$2:$A$6,0)),"")</f>
        <v>290</v>
      </c>
      <c r="M511" s="29" t="n">
        <f aca="false">IF(L511="","",H511*L511)</f>
        <v>1740</v>
      </c>
      <c r="N511" s="29" t="n">
        <f aca="false">IF(M511="","",J511-M511)</f>
        <v>1980</v>
      </c>
      <c r="O511" s="30" t="n">
        <f aca="false">IFERROR(N511/J511,0)</f>
        <v>0.532258064516129</v>
      </c>
      <c r="P511" s="27"/>
      <c r="Q511" s="27" t="s">
        <v>153</v>
      </c>
      <c r="R511" s="27" t="s">
        <v>154</v>
      </c>
      <c r="S511" s="27" t="n">
        <v>89</v>
      </c>
      <c r="T511" s="27"/>
    </row>
    <row r="512" customFormat="false" ht="15" hidden="false" customHeight="false" outlineLevel="0" collapsed="false">
      <c r="A512" s="26" t="n">
        <v>46100</v>
      </c>
      <c r="B512" s="27" t="n">
        <v>2026</v>
      </c>
      <c r="C512" s="27" t="n">
        <v>3</v>
      </c>
      <c r="D512" s="27" t="s">
        <v>82</v>
      </c>
      <c r="E512" s="27" t="s">
        <v>91</v>
      </c>
      <c r="F512" s="27" t="s">
        <v>107</v>
      </c>
      <c r="G512" s="27" t="s">
        <v>116</v>
      </c>
      <c r="H512" s="28" t="n">
        <v>2</v>
      </c>
      <c r="I512" s="29" t="n">
        <v>620</v>
      </c>
      <c r="J512" s="29" t="n">
        <v>1240</v>
      </c>
      <c r="K512" s="29" t="n">
        <f aca="false">H512*I512</f>
        <v>1240</v>
      </c>
      <c r="L512" s="29" t="n">
        <f aca="false">IFERROR(INDEX(Cat_Productos!$B$2:$B$6,MATCH(G512,Cat_Productos!$A$2:$A$6,0)),"")</f>
        <v>290</v>
      </c>
      <c r="M512" s="29" t="n">
        <f aca="false">IF(L512="","",H512*L512)</f>
        <v>580</v>
      </c>
      <c r="N512" s="29" t="n">
        <f aca="false">IF(M512="","",J512-M512)</f>
        <v>660</v>
      </c>
      <c r="O512" s="30" t="n">
        <f aca="false">IFERROR(N512/J512,0)</f>
        <v>0.532258064516129</v>
      </c>
      <c r="P512" s="27"/>
      <c r="Q512" s="27" t="s">
        <v>153</v>
      </c>
      <c r="R512" s="27" t="s">
        <v>154</v>
      </c>
      <c r="S512" s="27" t="n">
        <v>122</v>
      </c>
      <c r="T512" s="27"/>
    </row>
    <row r="513" customFormat="false" ht="15" hidden="false" customHeight="false" outlineLevel="0" collapsed="false">
      <c r="A513" s="26" t="n">
        <v>46100</v>
      </c>
      <c r="B513" s="27" t="n">
        <v>2026</v>
      </c>
      <c r="C513" s="27" t="n">
        <v>3</v>
      </c>
      <c r="D513" s="27" t="s">
        <v>82</v>
      </c>
      <c r="E513" s="27" t="s">
        <v>91</v>
      </c>
      <c r="F513" s="27" t="s">
        <v>107</v>
      </c>
      <c r="G513" s="27" t="s">
        <v>117</v>
      </c>
      <c r="H513" s="28" t="n">
        <v>4</v>
      </c>
      <c r="I513" s="29" t="n">
        <v>1450</v>
      </c>
      <c r="J513" s="29" t="n">
        <v>5800</v>
      </c>
      <c r="K513" s="29" t="n">
        <f aca="false">H513*I513</f>
        <v>5800</v>
      </c>
      <c r="L513" s="29" t="n">
        <f aca="false">IFERROR(INDEX(Cat_Productos!$B$2:$B$6,MATCH(G513,Cat_Productos!$A$2:$A$6,0)),"")</f>
        <v>780</v>
      </c>
      <c r="M513" s="29" t="n">
        <f aca="false">IF(L513="","",H513*L513)</f>
        <v>3120</v>
      </c>
      <c r="N513" s="29" t="n">
        <f aca="false">IF(M513="","",J513-M513)</f>
        <v>2680</v>
      </c>
      <c r="O513" s="30" t="n">
        <f aca="false">IFERROR(N513/J513,0)</f>
        <v>0.462068965517241</v>
      </c>
      <c r="P513" s="27"/>
      <c r="Q513" s="27" t="s">
        <v>153</v>
      </c>
      <c r="R513" s="27" t="s">
        <v>154</v>
      </c>
      <c r="S513" s="27" t="n">
        <v>118</v>
      </c>
      <c r="T513" s="27"/>
    </row>
    <row r="514" customFormat="false" ht="15" hidden="false" customHeight="false" outlineLevel="0" collapsed="false">
      <c r="A514" s="26" t="n">
        <v>46100</v>
      </c>
      <c r="B514" s="27" t="n">
        <v>2026</v>
      </c>
      <c r="C514" s="27" t="n">
        <v>3</v>
      </c>
      <c r="D514" s="27" t="s">
        <v>82</v>
      </c>
      <c r="E514" s="27" t="s">
        <v>92</v>
      </c>
      <c r="F514" s="27" t="s">
        <v>105</v>
      </c>
      <c r="G514" s="27" t="s">
        <v>117</v>
      </c>
      <c r="H514" s="28" t="n">
        <v>6</v>
      </c>
      <c r="I514" s="29" t="n">
        <v>1450</v>
      </c>
      <c r="J514" s="29" t="n">
        <v>8700</v>
      </c>
      <c r="K514" s="29" t="n">
        <f aca="false">H514*I514</f>
        <v>8700</v>
      </c>
      <c r="L514" s="29" t="n">
        <f aca="false">IFERROR(INDEX(Cat_Productos!$B$2:$B$6,MATCH(G514,Cat_Productos!$A$2:$A$6,0)),"")</f>
        <v>780</v>
      </c>
      <c r="M514" s="29" t="n">
        <f aca="false">IF(L514="","",H514*L514)</f>
        <v>4680</v>
      </c>
      <c r="N514" s="29" t="n">
        <f aca="false">IF(M514="","",J514-M514)</f>
        <v>4020</v>
      </c>
      <c r="O514" s="30" t="n">
        <f aca="false">IFERROR(N514/J514,0)</f>
        <v>0.462068965517241</v>
      </c>
      <c r="P514" s="27"/>
      <c r="Q514" s="27" t="s">
        <v>153</v>
      </c>
      <c r="R514" s="27" t="s">
        <v>154</v>
      </c>
      <c r="S514" s="27" t="n">
        <v>28</v>
      </c>
      <c r="T514" s="27"/>
    </row>
    <row r="515" customFormat="false" ht="15" hidden="false" customHeight="false" outlineLevel="0" collapsed="false">
      <c r="A515" s="26" t="n">
        <v>46100</v>
      </c>
      <c r="B515" s="27" t="n">
        <v>2026</v>
      </c>
      <c r="C515" s="27" t="n">
        <v>3</v>
      </c>
      <c r="D515" s="27" t="s">
        <v>82</v>
      </c>
      <c r="E515" s="27" t="s">
        <v>91</v>
      </c>
      <c r="F515" s="27" t="s">
        <v>107</v>
      </c>
      <c r="G515" s="27" t="s">
        <v>116</v>
      </c>
      <c r="H515" s="28" t="n">
        <v>4</v>
      </c>
      <c r="I515" s="29" t="n">
        <v>620</v>
      </c>
      <c r="J515" s="29" t="n">
        <v>2480</v>
      </c>
      <c r="K515" s="29" t="n">
        <f aca="false">H515*I515</f>
        <v>2480</v>
      </c>
      <c r="L515" s="29" t="n">
        <f aca="false">IFERROR(INDEX(Cat_Productos!$B$2:$B$6,MATCH(G515,Cat_Productos!$A$2:$A$6,0)),"")</f>
        <v>290</v>
      </c>
      <c r="M515" s="29" t="n">
        <f aca="false">IF(L515="","",H515*L515)</f>
        <v>1160</v>
      </c>
      <c r="N515" s="29" t="n">
        <f aca="false">IF(M515="","",J515-M515)</f>
        <v>1320</v>
      </c>
      <c r="O515" s="30" t="n">
        <f aca="false">IFERROR(N515/J515,0)</f>
        <v>0.532258064516129</v>
      </c>
      <c r="P515" s="27"/>
      <c r="Q515" s="27" t="s">
        <v>153</v>
      </c>
      <c r="R515" s="27" t="s">
        <v>154</v>
      </c>
      <c r="S515" s="27" t="n">
        <v>134</v>
      </c>
      <c r="T515" s="27"/>
    </row>
    <row r="516" customFormat="false" ht="15" hidden="false" customHeight="false" outlineLevel="0" collapsed="false">
      <c r="A516" s="26" t="n">
        <v>46100</v>
      </c>
      <c r="B516" s="27" t="n">
        <v>2026</v>
      </c>
      <c r="C516" s="27" t="n">
        <v>3</v>
      </c>
      <c r="D516" s="27" t="s">
        <v>82</v>
      </c>
      <c r="E516" s="27" t="s">
        <v>92</v>
      </c>
      <c r="F516" s="27" t="s">
        <v>105</v>
      </c>
      <c r="G516" s="27" t="s">
        <v>116</v>
      </c>
      <c r="H516" s="28" t="n">
        <v>6</v>
      </c>
      <c r="I516" s="29" t="n">
        <v>620</v>
      </c>
      <c r="J516" s="29" t="n">
        <v>3720</v>
      </c>
      <c r="K516" s="29" t="n">
        <f aca="false">H516*I516</f>
        <v>3720</v>
      </c>
      <c r="L516" s="29" t="n">
        <f aca="false">IFERROR(INDEX(Cat_Productos!$B$2:$B$6,MATCH(G516,Cat_Productos!$A$2:$A$6,0)),"")</f>
        <v>290</v>
      </c>
      <c r="M516" s="29" t="n">
        <f aca="false">IF(L516="","",H516*L516)</f>
        <v>1740</v>
      </c>
      <c r="N516" s="29" t="n">
        <f aca="false">IF(M516="","",J516-M516)</f>
        <v>1980</v>
      </c>
      <c r="O516" s="30" t="n">
        <f aca="false">IFERROR(N516/J516,0)</f>
        <v>0.532258064516129</v>
      </c>
      <c r="P516" s="27"/>
      <c r="Q516" s="27" t="s">
        <v>153</v>
      </c>
      <c r="R516" s="27" t="s">
        <v>154</v>
      </c>
      <c r="S516" s="27" t="n">
        <v>34</v>
      </c>
      <c r="T516" s="27"/>
    </row>
    <row r="517" customFormat="false" ht="15" hidden="false" customHeight="false" outlineLevel="0" collapsed="false">
      <c r="A517" s="26" t="n">
        <v>46100</v>
      </c>
      <c r="B517" s="27" t="n">
        <v>2026</v>
      </c>
      <c r="C517" s="27" t="n">
        <v>3</v>
      </c>
      <c r="D517" s="27" t="s">
        <v>82</v>
      </c>
      <c r="E517" s="27" t="s">
        <v>92</v>
      </c>
      <c r="F517" s="27" t="s">
        <v>105</v>
      </c>
      <c r="G517" s="27" t="s">
        <v>116</v>
      </c>
      <c r="H517" s="28" t="n">
        <v>6</v>
      </c>
      <c r="I517" s="29" t="n">
        <v>620</v>
      </c>
      <c r="J517" s="29" t="n">
        <v>3720</v>
      </c>
      <c r="K517" s="29" t="n">
        <f aca="false">H517*I517</f>
        <v>3720</v>
      </c>
      <c r="L517" s="29" t="n">
        <f aca="false">IFERROR(INDEX(Cat_Productos!$B$2:$B$6,MATCH(G517,Cat_Productos!$A$2:$A$6,0)),"")</f>
        <v>290</v>
      </c>
      <c r="M517" s="29" t="n">
        <f aca="false">IF(L517="","",H517*L517)</f>
        <v>1740</v>
      </c>
      <c r="N517" s="29" t="n">
        <f aca="false">IF(M517="","",J517-M517)</f>
        <v>1980</v>
      </c>
      <c r="O517" s="30" t="n">
        <f aca="false">IFERROR(N517/J517,0)</f>
        <v>0.532258064516129</v>
      </c>
      <c r="P517" s="27"/>
      <c r="Q517" s="27" t="s">
        <v>153</v>
      </c>
      <c r="R517" s="27" t="s">
        <v>154</v>
      </c>
      <c r="S517" s="27" t="n">
        <v>44</v>
      </c>
      <c r="T517" s="27"/>
    </row>
    <row r="518" customFormat="false" ht="15" hidden="false" customHeight="false" outlineLevel="0" collapsed="false">
      <c r="A518" s="26" t="n">
        <v>46100</v>
      </c>
      <c r="B518" s="27" t="n">
        <v>2026</v>
      </c>
      <c r="C518" s="27" t="n">
        <v>3</v>
      </c>
      <c r="D518" s="27" t="s">
        <v>82</v>
      </c>
      <c r="E518" s="27" t="s">
        <v>93</v>
      </c>
      <c r="F518" s="27" t="s">
        <v>108</v>
      </c>
      <c r="G518" s="27" t="s">
        <v>116</v>
      </c>
      <c r="H518" s="28" t="n">
        <v>2</v>
      </c>
      <c r="I518" s="29" t="n">
        <v>620</v>
      </c>
      <c r="J518" s="29" t="n">
        <v>1240</v>
      </c>
      <c r="K518" s="29" t="n">
        <f aca="false">H518*I518</f>
        <v>1240</v>
      </c>
      <c r="L518" s="29" t="n">
        <f aca="false">IFERROR(INDEX(Cat_Productos!$B$2:$B$6,MATCH(G518,Cat_Productos!$A$2:$A$6,0)),"")</f>
        <v>290</v>
      </c>
      <c r="M518" s="29" t="n">
        <f aca="false">IF(L518="","",H518*L518)</f>
        <v>580</v>
      </c>
      <c r="N518" s="29" t="n">
        <f aca="false">IF(M518="","",J518-M518)</f>
        <v>660</v>
      </c>
      <c r="O518" s="30" t="n">
        <f aca="false">IFERROR(N518/J518,0)</f>
        <v>0.532258064516129</v>
      </c>
      <c r="P518" s="27"/>
      <c r="Q518" s="27" t="s">
        <v>153</v>
      </c>
      <c r="R518" s="27" t="s">
        <v>154</v>
      </c>
      <c r="S518" s="27" t="n">
        <v>83</v>
      </c>
      <c r="T518" s="27"/>
    </row>
    <row r="519" customFormat="false" ht="15" hidden="false" customHeight="false" outlineLevel="0" collapsed="false">
      <c r="A519" s="26" t="n">
        <v>46100</v>
      </c>
      <c r="B519" s="27" t="n">
        <v>2026</v>
      </c>
      <c r="C519" s="27" t="n">
        <v>3</v>
      </c>
      <c r="D519" s="27" t="s">
        <v>82</v>
      </c>
      <c r="E519" s="27" t="s">
        <v>92</v>
      </c>
      <c r="F519" s="27" t="s">
        <v>105</v>
      </c>
      <c r="G519" s="27" t="s">
        <v>116</v>
      </c>
      <c r="H519" s="28" t="n">
        <v>2</v>
      </c>
      <c r="I519" s="29" t="n">
        <v>620</v>
      </c>
      <c r="J519" s="29" t="n">
        <v>1240</v>
      </c>
      <c r="K519" s="29" t="n">
        <f aca="false">H519*I519</f>
        <v>1240</v>
      </c>
      <c r="L519" s="29" t="n">
        <f aca="false">IFERROR(INDEX(Cat_Productos!$B$2:$B$6,MATCH(G519,Cat_Productos!$A$2:$A$6,0)),"")</f>
        <v>290</v>
      </c>
      <c r="M519" s="29" t="n">
        <f aca="false">IF(L519="","",H519*L519)</f>
        <v>580</v>
      </c>
      <c r="N519" s="29" t="n">
        <f aca="false">IF(M519="","",J519-M519)</f>
        <v>660</v>
      </c>
      <c r="O519" s="30" t="n">
        <f aca="false">IFERROR(N519/J519,0)</f>
        <v>0.532258064516129</v>
      </c>
      <c r="P519" s="27"/>
      <c r="Q519" s="27" t="s">
        <v>153</v>
      </c>
      <c r="R519" s="27" t="s">
        <v>154</v>
      </c>
      <c r="S519" s="27" t="n">
        <v>54</v>
      </c>
      <c r="T519" s="27"/>
    </row>
    <row r="520" customFormat="false" ht="15" hidden="false" customHeight="false" outlineLevel="0" collapsed="false">
      <c r="A520" s="26" t="n">
        <v>46100</v>
      </c>
      <c r="B520" s="27" t="n">
        <v>2026</v>
      </c>
      <c r="C520" s="27" t="n">
        <v>3</v>
      </c>
      <c r="D520" s="27" t="s">
        <v>82</v>
      </c>
      <c r="E520" s="27" t="s">
        <v>92</v>
      </c>
      <c r="F520" s="27" t="s">
        <v>105</v>
      </c>
      <c r="G520" s="27" t="s">
        <v>114</v>
      </c>
      <c r="H520" s="28" t="n">
        <v>4</v>
      </c>
      <c r="I520" s="29" t="n">
        <v>24500</v>
      </c>
      <c r="J520" s="29" t="n">
        <v>98000</v>
      </c>
      <c r="K520" s="29" t="n">
        <f aca="false">H520*I520</f>
        <v>98000</v>
      </c>
      <c r="L520" s="29" t="n">
        <f aca="false">IFERROR(INDEX(Cat_Productos!$B$2:$B$6,MATCH(G520,Cat_Productos!$A$2:$A$6,0)),"")</f>
        <v>19200</v>
      </c>
      <c r="M520" s="29" t="n">
        <f aca="false">IF(L520="","",H520*L520)</f>
        <v>76800</v>
      </c>
      <c r="N520" s="29" t="n">
        <f aca="false">IF(M520="","",J520-M520)</f>
        <v>21200</v>
      </c>
      <c r="O520" s="30" t="n">
        <f aca="false">IFERROR(N520/J520,0)</f>
        <v>0.216326530612245</v>
      </c>
      <c r="P520" s="27"/>
      <c r="Q520" s="27" t="s">
        <v>153</v>
      </c>
      <c r="R520" s="27" t="s">
        <v>154</v>
      </c>
      <c r="S520" s="27" t="n">
        <v>2</v>
      </c>
      <c r="T520" s="27"/>
    </row>
    <row r="521" customFormat="false" ht="15" hidden="false" customHeight="false" outlineLevel="0" collapsed="false">
      <c r="A521" s="26" t="n">
        <v>46100</v>
      </c>
      <c r="B521" s="27" t="n">
        <v>2026</v>
      </c>
      <c r="C521" s="27" t="n">
        <v>3</v>
      </c>
      <c r="D521" s="27" t="s">
        <v>82</v>
      </c>
      <c r="E521" s="27" t="s">
        <v>91</v>
      </c>
      <c r="F521" s="27" t="s">
        <v>103</v>
      </c>
      <c r="G521" s="27" t="s">
        <v>117</v>
      </c>
      <c r="H521" s="28" t="n">
        <v>6</v>
      </c>
      <c r="I521" s="29" t="n">
        <v>1450</v>
      </c>
      <c r="J521" s="29" t="n">
        <v>8700</v>
      </c>
      <c r="K521" s="29" t="n">
        <f aca="false">H521*I521</f>
        <v>8700</v>
      </c>
      <c r="L521" s="29" t="n">
        <f aca="false">IFERROR(INDEX(Cat_Productos!$B$2:$B$6,MATCH(G521,Cat_Productos!$A$2:$A$6,0)),"")</f>
        <v>780</v>
      </c>
      <c r="M521" s="29" t="n">
        <f aca="false">IF(L521="","",H521*L521)</f>
        <v>4680</v>
      </c>
      <c r="N521" s="29" t="n">
        <f aca="false">IF(M521="","",J521-M521)</f>
        <v>4020</v>
      </c>
      <c r="O521" s="30" t="n">
        <f aca="false">IFERROR(N521/J521,0)</f>
        <v>0.462068965517241</v>
      </c>
      <c r="P521" s="27"/>
      <c r="Q521" s="27" t="s">
        <v>153</v>
      </c>
      <c r="R521" s="27" t="s">
        <v>154</v>
      </c>
      <c r="S521" s="27" t="n">
        <v>152</v>
      </c>
      <c r="T521" s="27"/>
    </row>
    <row r="522" customFormat="false" ht="15" hidden="false" customHeight="false" outlineLevel="0" collapsed="false">
      <c r="A522" s="26" t="n">
        <v>46100</v>
      </c>
      <c r="B522" s="27" t="n">
        <v>2026</v>
      </c>
      <c r="C522" s="27" t="n">
        <v>3</v>
      </c>
      <c r="D522" s="27" t="s">
        <v>82</v>
      </c>
      <c r="E522" s="27" t="s">
        <v>91</v>
      </c>
      <c r="F522" s="27" t="s">
        <v>107</v>
      </c>
      <c r="G522" s="27" t="s">
        <v>117</v>
      </c>
      <c r="H522" s="28" t="n">
        <v>2</v>
      </c>
      <c r="I522" s="29" t="n">
        <v>1450</v>
      </c>
      <c r="J522" s="29" t="n">
        <v>2900</v>
      </c>
      <c r="K522" s="29" t="n">
        <f aca="false">H522*I522</f>
        <v>2900</v>
      </c>
      <c r="L522" s="29" t="n">
        <f aca="false">IFERROR(INDEX(Cat_Productos!$B$2:$B$6,MATCH(G522,Cat_Productos!$A$2:$A$6,0)),"")</f>
        <v>780</v>
      </c>
      <c r="M522" s="29" t="n">
        <f aca="false">IF(L522="","",H522*L522)</f>
        <v>1560</v>
      </c>
      <c r="N522" s="29" t="n">
        <f aca="false">IF(M522="","",J522-M522)</f>
        <v>1340</v>
      </c>
      <c r="O522" s="30" t="n">
        <f aca="false">IFERROR(N522/J522,0)</f>
        <v>0.462068965517241</v>
      </c>
      <c r="P522" s="27"/>
      <c r="Q522" s="27" t="s">
        <v>153</v>
      </c>
      <c r="R522" s="27" t="s">
        <v>154</v>
      </c>
      <c r="S522" s="27" t="n">
        <v>104</v>
      </c>
      <c r="T522" s="27"/>
    </row>
    <row r="523" customFormat="false" ht="15" hidden="false" customHeight="false" outlineLevel="0" collapsed="false">
      <c r="A523" s="26" t="n">
        <v>46100</v>
      </c>
      <c r="B523" s="27" t="n">
        <v>2026</v>
      </c>
      <c r="C523" s="27" t="n">
        <v>3</v>
      </c>
      <c r="D523" s="27" t="s">
        <v>82</v>
      </c>
      <c r="E523" s="27" t="s">
        <v>93</v>
      </c>
      <c r="F523" s="27" t="s">
        <v>108</v>
      </c>
      <c r="G523" s="27" t="s">
        <v>117</v>
      </c>
      <c r="H523" s="28" t="n">
        <v>3</v>
      </c>
      <c r="I523" s="29" t="n">
        <v>1450</v>
      </c>
      <c r="J523" s="29" t="n">
        <v>4350</v>
      </c>
      <c r="K523" s="29" t="n">
        <f aca="false">H523*I523</f>
        <v>4350</v>
      </c>
      <c r="L523" s="29" t="n">
        <f aca="false">IFERROR(INDEX(Cat_Productos!$B$2:$B$6,MATCH(G523,Cat_Productos!$A$2:$A$6,0)),"")</f>
        <v>780</v>
      </c>
      <c r="M523" s="29" t="n">
        <f aca="false">IF(L523="","",H523*L523)</f>
        <v>2340</v>
      </c>
      <c r="N523" s="29" t="n">
        <f aca="false">IF(M523="","",J523-M523)</f>
        <v>2010</v>
      </c>
      <c r="O523" s="30" t="n">
        <f aca="false">IFERROR(N523/J523,0)</f>
        <v>0.462068965517241</v>
      </c>
      <c r="P523" s="27"/>
      <c r="Q523" s="27" t="s">
        <v>153</v>
      </c>
      <c r="R523" s="27" t="s">
        <v>154</v>
      </c>
      <c r="S523" s="27" t="n">
        <v>81</v>
      </c>
      <c r="T523" s="27"/>
    </row>
    <row r="524" customFormat="false" ht="15" hidden="false" customHeight="false" outlineLevel="0" collapsed="false">
      <c r="A524" s="26" t="n">
        <v>46102</v>
      </c>
      <c r="B524" s="27" t="n">
        <v>2026</v>
      </c>
      <c r="C524" s="27" t="n">
        <v>3</v>
      </c>
      <c r="D524" s="27" t="s">
        <v>82</v>
      </c>
      <c r="E524" s="27" t="s">
        <v>91</v>
      </c>
      <c r="F524" s="27" t="s">
        <v>107</v>
      </c>
      <c r="G524" s="27" t="s">
        <v>117</v>
      </c>
      <c r="H524" s="28" t="n">
        <v>6</v>
      </c>
      <c r="I524" s="29" t="n">
        <v>1450</v>
      </c>
      <c r="J524" s="29" t="n">
        <v>8700</v>
      </c>
      <c r="K524" s="29" t="n">
        <f aca="false">H524*I524</f>
        <v>8700</v>
      </c>
      <c r="L524" s="29" t="n">
        <f aca="false">IFERROR(INDEX(Cat_Productos!$B$2:$B$6,MATCH(G524,Cat_Productos!$A$2:$A$6,0)),"")</f>
        <v>780</v>
      </c>
      <c r="M524" s="29" t="n">
        <f aca="false">IF(L524="","",H524*L524)</f>
        <v>4680</v>
      </c>
      <c r="N524" s="29" t="n">
        <f aca="false">IF(M524="","",J524-M524)</f>
        <v>4020</v>
      </c>
      <c r="O524" s="30" t="n">
        <f aca="false">IFERROR(N524/J524,0)</f>
        <v>0.462068965517241</v>
      </c>
      <c r="P524" s="27"/>
      <c r="Q524" s="27" t="s">
        <v>153</v>
      </c>
      <c r="R524" s="27" t="s">
        <v>154</v>
      </c>
      <c r="S524" s="27" t="n">
        <v>105</v>
      </c>
      <c r="T524" s="27"/>
    </row>
    <row r="525" customFormat="false" ht="15" hidden="false" customHeight="false" outlineLevel="0" collapsed="false">
      <c r="A525" s="26" t="n">
        <v>46102</v>
      </c>
      <c r="B525" s="27" t="n">
        <v>2026</v>
      </c>
      <c r="C525" s="27" t="n">
        <v>3</v>
      </c>
      <c r="D525" s="27" t="s">
        <v>82</v>
      </c>
      <c r="E525" s="27" t="s">
        <v>93</v>
      </c>
      <c r="F525" s="27" t="s">
        <v>104</v>
      </c>
      <c r="G525" s="27" t="s">
        <v>117</v>
      </c>
      <c r="H525" s="28" t="n">
        <v>4</v>
      </c>
      <c r="I525" s="29" t="n">
        <v>1450</v>
      </c>
      <c r="J525" s="29" t="n">
        <v>5800</v>
      </c>
      <c r="K525" s="29" t="n">
        <f aca="false">H525*I525</f>
        <v>5800</v>
      </c>
      <c r="L525" s="29" t="n">
        <f aca="false">IFERROR(INDEX(Cat_Productos!$B$2:$B$6,MATCH(G525,Cat_Productos!$A$2:$A$6,0)),"")</f>
        <v>780</v>
      </c>
      <c r="M525" s="29" t="n">
        <f aca="false">IF(L525="","",H525*L525)</f>
        <v>3120</v>
      </c>
      <c r="N525" s="29" t="n">
        <f aca="false">IF(M525="","",J525-M525)</f>
        <v>2680</v>
      </c>
      <c r="O525" s="30" t="n">
        <f aca="false">IFERROR(N525/J525,0)</f>
        <v>0.462068965517241</v>
      </c>
      <c r="P525" s="27"/>
      <c r="Q525" s="27" t="s">
        <v>153</v>
      </c>
      <c r="R525" s="27" t="s">
        <v>154</v>
      </c>
      <c r="S525" s="27" t="n">
        <v>211</v>
      </c>
      <c r="T525" s="27"/>
    </row>
    <row r="526" customFormat="false" ht="15" hidden="false" customHeight="false" outlineLevel="0" collapsed="false">
      <c r="A526" s="26" t="n">
        <v>46102</v>
      </c>
      <c r="B526" s="27" t="n">
        <v>2026</v>
      </c>
      <c r="C526" s="27" t="n">
        <v>3</v>
      </c>
      <c r="D526" s="27" t="s">
        <v>82</v>
      </c>
      <c r="E526" s="27" t="s">
        <v>93</v>
      </c>
      <c r="F526" s="27" t="s">
        <v>108</v>
      </c>
      <c r="G526" s="27" t="s">
        <v>116</v>
      </c>
      <c r="H526" s="28" t="n">
        <v>4</v>
      </c>
      <c r="I526" s="29" t="n">
        <v>620</v>
      </c>
      <c r="J526" s="29" t="n">
        <v>2480</v>
      </c>
      <c r="K526" s="29" t="n">
        <f aca="false">H526*I526</f>
        <v>2480</v>
      </c>
      <c r="L526" s="29" t="n">
        <f aca="false">IFERROR(INDEX(Cat_Productos!$B$2:$B$6,MATCH(G526,Cat_Productos!$A$2:$A$6,0)),"")</f>
        <v>290</v>
      </c>
      <c r="M526" s="29" t="n">
        <f aca="false">IF(L526="","",H526*L526)</f>
        <v>1160</v>
      </c>
      <c r="N526" s="29" t="n">
        <f aca="false">IF(M526="","",J526-M526)</f>
        <v>1320</v>
      </c>
      <c r="O526" s="30" t="n">
        <f aca="false">IFERROR(N526/J526,0)</f>
        <v>0.532258064516129</v>
      </c>
      <c r="P526" s="27"/>
      <c r="Q526" s="27" t="s">
        <v>153</v>
      </c>
      <c r="R526" s="27" t="s">
        <v>154</v>
      </c>
      <c r="S526" s="27" t="n">
        <v>90</v>
      </c>
      <c r="T526" s="27"/>
    </row>
    <row r="527" customFormat="false" ht="15" hidden="false" customHeight="false" outlineLevel="0" collapsed="false">
      <c r="A527" s="26" t="n">
        <v>46102</v>
      </c>
      <c r="B527" s="27" t="n">
        <v>2026</v>
      </c>
      <c r="C527" s="27" t="n">
        <v>3</v>
      </c>
      <c r="D527" s="27" t="s">
        <v>82</v>
      </c>
      <c r="E527" s="27" t="s">
        <v>92</v>
      </c>
      <c r="F527" s="27" t="s">
        <v>105</v>
      </c>
      <c r="G527" s="27" t="s">
        <v>116</v>
      </c>
      <c r="H527" s="28" t="n">
        <v>6</v>
      </c>
      <c r="I527" s="29" t="n">
        <v>620</v>
      </c>
      <c r="J527" s="29" t="n">
        <v>3720</v>
      </c>
      <c r="K527" s="29" t="n">
        <f aca="false">H527*I527</f>
        <v>3720</v>
      </c>
      <c r="L527" s="29" t="n">
        <f aca="false">IFERROR(INDEX(Cat_Productos!$B$2:$B$6,MATCH(G527,Cat_Productos!$A$2:$A$6,0)),"")</f>
        <v>290</v>
      </c>
      <c r="M527" s="29" t="n">
        <f aca="false">IF(L527="","",H527*L527)</f>
        <v>1740</v>
      </c>
      <c r="N527" s="29" t="n">
        <f aca="false">IF(M527="","",J527-M527)</f>
        <v>1980</v>
      </c>
      <c r="O527" s="30" t="n">
        <f aca="false">IFERROR(N527/J527,0)</f>
        <v>0.532258064516129</v>
      </c>
      <c r="P527" s="27"/>
      <c r="Q527" s="27" t="s">
        <v>153</v>
      </c>
      <c r="R527" s="27" t="s">
        <v>154</v>
      </c>
      <c r="S527" s="27" t="n">
        <v>51</v>
      </c>
      <c r="T527" s="27"/>
    </row>
    <row r="528" customFormat="false" ht="15" hidden="false" customHeight="false" outlineLevel="0" collapsed="false">
      <c r="A528" s="26" t="n">
        <v>46102</v>
      </c>
      <c r="B528" s="27" t="n">
        <v>2026</v>
      </c>
      <c r="C528" s="27" t="n">
        <v>3</v>
      </c>
      <c r="D528" s="27" t="s">
        <v>82</v>
      </c>
      <c r="E528" s="27" t="s">
        <v>91</v>
      </c>
      <c r="F528" s="27" t="s">
        <v>107</v>
      </c>
      <c r="G528" s="27" t="s">
        <v>117</v>
      </c>
      <c r="H528" s="28" t="n">
        <v>6</v>
      </c>
      <c r="I528" s="29" t="n">
        <v>1450</v>
      </c>
      <c r="J528" s="29" t="n">
        <v>8700</v>
      </c>
      <c r="K528" s="29" t="n">
        <f aca="false">H528*I528</f>
        <v>8700</v>
      </c>
      <c r="L528" s="29" t="n">
        <f aca="false">IFERROR(INDEX(Cat_Productos!$B$2:$B$6,MATCH(G528,Cat_Productos!$A$2:$A$6,0)),"")</f>
        <v>780</v>
      </c>
      <c r="M528" s="29" t="n">
        <f aca="false">IF(L528="","",H528*L528)</f>
        <v>4680</v>
      </c>
      <c r="N528" s="29" t="n">
        <f aca="false">IF(M528="","",J528-M528)</f>
        <v>4020</v>
      </c>
      <c r="O528" s="30" t="n">
        <f aca="false">IFERROR(N528/J528,0)</f>
        <v>0.462068965517241</v>
      </c>
      <c r="P528" s="27"/>
      <c r="Q528" s="27" t="s">
        <v>153</v>
      </c>
      <c r="R528" s="27" t="s">
        <v>154</v>
      </c>
      <c r="S528" s="27" t="n">
        <v>109</v>
      </c>
      <c r="T528" s="27"/>
    </row>
    <row r="529" customFormat="false" ht="15" hidden="false" customHeight="false" outlineLevel="0" collapsed="false">
      <c r="A529" s="26" t="n">
        <v>46102</v>
      </c>
      <c r="B529" s="27" t="n">
        <v>2026</v>
      </c>
      <c r="C529" s="27" t="n">
        <v>3</v>
      </c>
      <c r="D529" s="27" t="s">
        <v>82</v>
      </c>
      <c r="E529" s="27" t="s">
        <v>92</v>
      </c>
      <c r="F529" s="27" t="s">
        <v>105</v>
      </c>
      <c r="G529" s="27" t="s">
        <v>116</v>
      </c>
      <c r="H529" s="28" t="n">
        <v>2</v>
      </c>
      <c r="I529" s="29" t="n">
        <v>620</v>
      </c>
      <c r="J529" s="29" t="n">
        <v>1240</v>
      </c>
      <c r="K529" s="29" t="n">
        <f aca="false">H529*I529</f>
        <v>1240</v>
      </c>
      <c r="L529" s="29" t="n">
        <f aca="false">IFERROR(INDEX(Cat_Productos!$B$2:$B$6,MATCH(G529,Cat_Productos!$A$2:$A$6,0)),"")</f>
        <v>290</v>
      </c>
      <c r="M529" s="29" t="n">
        <f aca="false">IF(L529="","",H529*L529)</f>
        <v>580</v>
      </c>
      <c r="N529" s="29" t="n">
        <f aca="false">IF(M529="","",J529-M529)</f>
        <v>660</v>
      </c>
      <c r="O529" s="30" t="n">
        <f aca="false">IFERROR(N529/J529,0)</f>
        <v>0.532258064516129</v>
      </c>
      <c r="P529" s="27"/>
      <c r="Q529" s="27" t="s">
        <v>153</v>
      </c>
      <c r="R529" s="27" t="s">
        <v>154</v>
      </c>
      <c r="S529" s="27" t="n">
        <v>37</v>
      </c>
      <c r="T529" s="27"/>
    </row>
    <row r="530" customFormat="false" ht="15" hidden="false" customHeight="false" outlineLevel="0" collapsed="false">
      <c r="A530" s="26" t="n">
        <v>46102</v>
      </c>
      <c r="B530" s="27" t="n">
        <v>2026</v>
      </c>
      <c r="C530" s="27" t="n">
        <v>3</v>
      </c>
      <c r="D530" s="27" t="s">
        <v>82</v>
      </c>
      <c r="E530" s="27" t="s">
        <v>93</v>
      </c>
      <c r="F530" s="27" t="s">
        <v>108</v>
      </c>
      <c r="G530" s="27" t="s">
        <v>116</v>
      </c>
      <c r="H530" s="28" t="n">
        <v>2</v>
      </c>
      <c r="I530" s="29" t="n">
        <v>620</v>
      </c>
      <c r="J530" s="29" t="n">
        <v>1240</v>
      </c>
      <c r="K530" s="29" t="n">
        <f aca="false">H530*I530</f>
        <v>1240</v>
      </c>
      <c r="L530" s="29" t="n">
        <f aca="false">IFERROR(INDEX(Cat_Productos!$B$2:$B$6,MATCH(G530,Cat_Productos!$A$2:$A$6,0)),"")</f>
        <v>290</v>
      </c>
      <c r="M530" s="29" t="n">
        <f aca="false">IF(L530="","",H530*L530)</f>
        <v>580</v>
      </c>
      <c r="N530" s="29" t="n">
        <f aca="false">IF(M530="","",J530-M530)</f>
        <v>660</v>
      </c>
      <c r="O530" s="30" t="n">
        <f aca="false">IFERROR(N530/J530,0)</f>
        <v>0.532258064516129</v>
      </c>
      <c r="P530" s="27"/>
      <c r="Q530" s="27" t="s">
        <v>153</v>
      </c>
      <c r="R530" s="27" t="s">
        <v>154</v>
      </c>
      <c r="S530" s="27" t="n">
        <v>82</v>
      </c>
      <c r="T530" s="27"/>
    </row>
    <row r="531" customFormat="false" ht="15" hidden="false" customHeight="false" outlineLevel="0" collapsed="false">
      <c r="A531" s="26" t="n">
        <v>46102</v>
      </c>
      <c r="B531" s="27" t="n">
        <v>2026</v>
      </c>
      <c r="C531" s="27" t="n">
        <v>3</v>
      </c>
      <c r="D531" s="27" t="s">
        <v>82</v>
      </c>
      <c r="E531" s="27" t="s">
        <v>91</v>
      </c>
      <c r="F531" s="27" t="s">
        <v>107</v>
      </c>
      <c r="G531" s="27" t="s">
        <v>116</v>
      </c>
      <c r="H531" s="28" t="n">
        <v>4</v>
      </c>
      <c r="I531" s="29" t="n">
        <v>620</v>
      </c>
      <c r="J531" s="29" t="n">
        <v>2480</v>
      </c>
      <c r="K531" s="29" t="n">
        <f aca="false">H531*I531</f>
        <v>2480</v>
      </c>
      <c r="L531" s="29" t="n">
        <f aca="false">IFERROR(INDEX(Cat_Productos!$B$2:$B$6,MATCH(G531,Cat_Productos!$A$2:$A$6,0)),"")</f>
        <v>290</v>
      </c>
      <c r="M531" s="29" t="n">
        <f aca="false">IF(L531="","",H531*L531)</f>
        <v>1160</v>
      </c>
      <c r="N531" s="29" t="n">
        <f aca="false">IF(M531="","",J531-M531)</f>
        <v>1320</v>
      </c>
      <c r="O531" s="30" t="n">
        <f aca="false">IFERROR(N531/J531,0)</f>
        <v>0.532258064516129</v>
      </c>
      <c r="P531" s="27"/>
      <c r="Q531" s="27" t="s">
        <v>153</v>
      </c>
      <c r="R531" s="27" t="s">
        <v>154</v>
      </c>
      <c r="S531" s="27" t="n">
        <v>127</v>
      </c>
      <c r="T531" s="27"/>
    </row>
    <row r="532" customFormat="false" ht="15" hidden="false" customHeight="false" outlineLevel="0" collapsed="false">
      <c r="A532" s="26" t="n">
        <v>46102</v>
      </c>
      <c r="B532" s="27" t="n">
        <v>2026</v>
      </c>
      <c r="C532" s="27" t="n">
        <v>3</v>
      </c>
      <c r="D532" s="27" t="s">
        <v>82</v>
      </c>
      <c r="E532" s="27" t="s">
        <v>91</v>
      </c>
      <c r="F532" s="27" t="s">
        <v>103</v>
      </c>
      <c r="G532" s="27" t="s">
        <v>116</v>
      </c>
      <c r="H532" s="28" t="n">
        <v>6</v>
      </c>
      <c r="I532" s="29" t="n">
        <v>620</v>
      </c>
      <c r="J532" s="29" t="n">
        <v>3720</v>
      </c>
      <c r="K532" s="29" t="n">
        <f aca="false">H532*I532</f>
        <v>3720</v>
      </c>
      <c r="L532" s="29" t="n">
        <f aca="false">IFERROR(INDEX(Cat_Productos!$B$2:$B$6,MATCH(G532,Cat_Productos!$A$2:$A$6,0)),"")</f>
        <v>290</v>
      </c>
      <c r="M532" s="29" t="n">
        <f aca="false">IF(L532="","",H532*L532)</f>
        <v>1740</v>
      </c>
      <c r="N532" s="29" t="n">
        <f aca="false">IF(M532="","",J532-M532)</f>
        <v>1980</v>
      </c>
      <c r="O532" s="30" t="n">
        <f aca="false">IFERROR(N532/J532,0)</f>
        <v>0.532258064516129</v>
      </c>
      <c r="P532" s="27"/>
      <c r="Q532" s="27" t="s">
        <v>153</v>
      </c>
      <c r="R532" s="27" t="s">
        <v>154</v>
      </c>
      <c r="S532" s="27" t="n">
        <v>167</v>
      </c>
      <c r="T532" s="27"/>
    </row>
    <row r="533" customFormat="false" ht="15" hidden="false" customHeight="false" outlineLevel="0" collapsed="false">
      <c r="A533" s="26" t="n">
        <v>46102</v>
      </c>
      <c r="B533" s="27" t="n">
        <v>2026</v>
      </c>
      <c r="C533" s="27" t="n">
        <v>3</v>
      </c>
      <c r="D533" s="27" t="s">
        <v>82</v>
      </c>
      <c r="E533" s="27" t="s">
        <v>91</v>
      </c>
      <c r="F533" s="27" t="s">
        <v>103</v>
      </c>
      <c r="G533" s="27" t="s">
        <v>116</v>
      </c>
      <c r="H533" s="28" t="n">
        <v>2</v>
      </c>
      <c r="I533" s="29" t="n">
        <v>620</v>
      </c>
      <c r="J533" s="29" t="n">
        <v>1240</v>
      </c>
      <c r="K533" s="29" t="n">
        <f aca="false">H533*I533</f>
        <v>1240</v>
      </c>
      <c r="L533" s="29" t="n">
        <f aca="false">IFERROR(INDEX(Cat_Productos!$B$2:$B$6,MATCH(G533,Cat_Productos!$A$2:$A$6,0)),"")</f>
        <v>290</v>
      </c>
      <c r="M533" s="29" t="n">
        <f aca="false">IF(L533="","",H533*L533)</f>
        <v>580</v>
      </c>
      <c r="N533" s="29" t="n">
        <f aca="false">IF(M533="","",J533-M533)</f>
        <v>660</v>
      </c>
      <c r="O533" s="30" t="n">
        <f aca="false">IFERROR(N533/J533,0)</f>
        <v>0.532258064516129</v>
      </c>
      <c r="P533" s="27"/>
      <c r="Q533" s="27" t="s">
        <v>153</v>
      </c>
      <c r="R533" s="27" t="s">
        <v>154</v>
      </c>
      <c r="S533" s="27" t="n">
        <v>165</v>
      </c>
      <c r="T533" s="27"/>
    </row>
    <row r="534" customFormat="false" ht="15" hidden="false" customHeight="false" outlineLevel="0" collapsed="false">
      <c r="A534" s="26" t="n">
        <v>46102</v>
      </c>
      <c r="B534" s="27" t="n">
        <v>2026</v>
      </c>
      <c r="C534" s="27" t="n">
        <v>3</v>
      </c>
      <c r="D534" s="27" t="s">
        <v>82</v>
      </c>
      <c r="E534" s="27" t="s">
        <v>91</v>
      </c>
      <c r="F534" s="27" t="s">
        <v>103</v>
      </c>
      <c r="G534" s="27" t="s">
        <v>114</v>
      </c>
      <c r="H534" s="28" t="n">
        <v>2</v>
      </c>
      <c r="I534" s="29" t="n">
        <v>24500</v>
      </c>
      <c r="J534" s="29" t="n">
        <v>49000</v>
      </c>
      <c r="K534" s="29" t="n">
        <f aca="false">H534*I534</f>
        <v>49000</v>
      </c>
      <c r="L534" s="29" t="n">
        <f aca="false">IFERROR(INDEX(Cat_Productos!$B$2:$B$6,MATCH(G534,Cat_Productos!$A$2:$A$6,0)),"")</f>
        <v>19200</v>
      </c>
      <c r="M534" s="29" t="n">
        <f aca="false">IF(L534="","",H534*L534)</f>
        <v>38400</v>
      </c>
      <c r="N534" s="29" t="n">
        <f aca="false">IF(M534="","",J534-M534)</f>
        <v>10600</v>
      </c>
      <c r="O534" s="30" t="n">
        <f aca="false">IFERROR(N534/J534,0)</f>
        <v>0.216326530612245</v>
      </c>
      <c r="P534" s="27"/>
      <c r="Q534" s="27" t="s">
        <v>153</v>
      </c>
      <c r="R534" s="27" t="s">
        <v>154</v>
      </c>
      <c r="S534" s="27" t="n">
        <v>135</v>
      </c>
      <c r="T534" s="27"/>
    </row>
    <row r="535" customFormat="false" ht="15" hidden="false" customHeight="false" outlineLevel="0" collapsed="false">
      <c r="A535" s="26" t="n">
        <v>46102</v>
      </c>
      <c r="B535" s="27" t="n">
        <v>2026</v>
      </c>
      <c r="C535" s="27" t="n">
        <v>3</v>
      </c>
      <c r="D535" s="27" t="s">
        <v>82</v>
      </c>
      <c r="E535" s="27" t="s">
        <v>91</v>
      </c>
      <c r="F535" s="27" t="s">
        <v>103</v>
      </c>
      <c r="G535" s="27" t="s">
        <v>117</v>
      </c>
      <c r="H535" s="28" t="n">
        <v>4</v>
      </c>
      <c r="I535" s="29" t="n">
        <v>1450</v>
      </c>
      <c r="J535" s="29" t="n">
        <v>5800</v>
      </c>
      <c r="K535" s="29" t="n">
        <f aca="false">H535*I535</f>
        <v>5800</v>
      </c>
      <c r="L535" s="29" t="n">
        <f aca="false">IFERROR(INDEX(Cat_Productos!$B$2:$B$6,MATCH(G535,Cat_Productos!$A$2:$A$6,0)),"")</f>
        <v>780</v>
      </c>
      <c r="M535" s="29" t="n">
        <f aca="false">IF(L535="","",H535*L535)</f>
        <v>3120</v>
      </c>
      <c r="N535" s="29" t="n">
        <f aca="false">IF(M535="","",J535-M535)</f>
        <v>2680</v>
      </c>
      <c r="O535" s="30" t="n">
        <f aca="false">IFERROR(N535/J535,0)</f>
        <v>0.462068965517241</v>
      </c>
      <c r="P535" s="27"/>
      <c r="Q535" s="27" t="s">
        <v>153</v>
      </c>
      <c r="R535" s="27" t="s">
        <v>154</v>
      </c>
      <c r="S535" s="27" t="n">
        <v>149</v>
      </c>
      <c r="T535" s="27"/>
    </row>
    <row r="536" customFormat="false" ht="15" hidden="false" customHeight="false" outlineLevel="0" collapsed="false">
      <c r="A536" s="26" t="n">
        <v>46102</v>
      </c>
      <c r="B536" s="27" t="n">
        <v>2026</v>
      </c>
      <c r="C536" s="27" t="n">
        <v>3</v>
      </c>
      <c r="D536" s="27" t="s">
        <v>82</v>
      </c>
      <c r="E536" s="27" t="s">
        <v>92</v>
      </c>
      <c r="F536" s="27" t="s">
        <v>105</v>
      </c>
      <c r="G536" s="27" t="s">
        <v>116</v>
      </c>
      <c r="H536" s="28" t="n">
        <v>6</v>
      </c>
      <c r="I536" s="29" t="n">
        <v>620</v>
      </c>
      <c r="J536" s="29" t="n">
        <v>3720</v>
      </c>
      <c r="K536" s="29" t="n">
        <f aca="false">H536*I536</f>
        <v>3720</v>
      </c>
      <c r="L536" s="29" t="n">
        <f aca="false">IFERROR(INDEX(Cat_Productos!$B$2:$B$6,MATCH(G536,Cat_Productos!$A$2:$A$6,0)),"")</f>
        <v>290</v>
      </c>
      <c r="M536" s="29" t="n">
        <f aca="false">IF(L536="","",H536*L536)</f>
        <v>1740</v>
      </c>
      <c r="N536" s="29" t="n">
        <f aca="false">IF(M536="","",J536-M536)</f>
        <v>1980</v>
      </c>
      <c r="O536" s="30" t="n">
        <f aca="false">IFERROR(N536/J536,0)</f>
        <v>0.532258064516129</v>
      </c>
      <c r="P536" s="27"/>
      <c r="Q536" s="27" t="s">
        <v>153</v>
      </c>
      <c r="R536" s="27" t="s">
        <v>154</v>
      </c>
      <c r="S536" s="27" t="n">
        <v>45</v>
      </c>
      <c r="T536" s="27"/>
    </row>
    <row r="537" customFormat="false" ht="15" hidden="false" customHeight="false" outlineLevel="0" collapsed="false">
      <c r="A537" s="26" t="n">
        <v>46104</v>
      </c>
      <c r="B537" s="27" t="n">
        <v>2026</v>
      </c>
      <c r="C537" s="27" t="n">
        <v>3</v>
      </c>
      <c r="D537" s="27" t="s">
        <v>82</v>
      </c>
      <c r="E537" s="27" t="s">
        <v>92</v>
      </c>
      <c r="F537" s="27" t="s">
        <v>105</v>
      </c>
      <c r="G537" s="27" t="s">
        <v>116</v>
      </c>
      <c r="H537" s="28" t="n">
        <v>6</v>
      </c>
      <c r="I537" s="29" t="n">
        <v>620</v>
      </c>
      <c r="J537" s="29" t="n">
        <v>3720</v>
      </c>
      <c r="K537" s="29" t="n">
        <f aca="false">H537*I537</f>
        <v>3720</v>
      </c>
      <c r="L537" s="29" t="n">
        <f aca="false">IFERROR(INDEX(Cat_Productos!$B$2:$B$6,MATCH(G537,Cat_Productos!$A$2:$A$6,0)),"")</f>
        <v>290</v>
      </c>
      <c r="M537" s="29" t="n">
        <f aca="false">IF(L537="","",H537*L537)</f>
        <v>1740</v>
      </c>
      <c r="N537" s="29" t="n">
        <f aca="false">IF(M537="","",J537-M537)</f>
        <v>1980</v>
      </c>
      <c r="O537" s="30" t="n">
        <f aca="false">IFERROR(N537/J537,0)</f>
        <v>0.532258064516129</v>
      </c>
      <c r="P537" s="27"/>
      <c r="Q537" s="27" t="s">
        <v>153</v>
      </c>
      <c r="R537" s="27" t="s">
        <v>154</v>
      </c>
      <c r="S537" s="27" t="n">
        <v>50</v>
      </c>
      <c r="T537" s="27"/>
    </row>
    <row r="538" customFormat="false" ht="15" hidden="false" customHeight="false" outlineLevel="0" collapsed="false">
      <c r="A538" s="26" t="n">
        <v>46104</v>
      </c>
      <c r="B538" s="27" t="n">
        <v>2026</v>
      </c>
      <c r="C538" s="27" t="n">
        <v>3</v>
      </c>
      <c r="D538" s="27" t="s">
        <v>82</v>
      </c>
      <c r="E538" s="27" t="s">
        <v>92</v>
      </c>
      <c r="F538" s="27" t="s">
        <v>105</v>
      </c>
      <c r="G538" s="27" t="s">
        <v>116</v>
      </c>
      <c r="H538" s="28" t="n">
        <v>2</v>
      </c>
      <c r="I538" s="29" t="n">
        <v>620</v>
      </c>
      <c r="J538" s="29" t="n">
        <v>1240</v>
      </c>
      <c r="K538" s="29" t="n">
        <f aca="false">H538*I538</f>
        <v>1240</v>
      </c>
      <c r="L538" s="29" t="n">
        <f aca="false">IFERROR(INDEX(Cat_Productos!$B$2:$B$6,MATCH(G538,Cat_Productos!$A$2:$A$6,0)),"")</f>
        <v>290</v>
      </c>
      <c r="M538" s="29" t="n">
        <f aca="false">IF(L538="","",H538*L538)</f>
        <v>580</v>
      </c>
      <c r="N538" s="29" t="n">
        <f aca="false">IF(M538="","",J538-M538)</f>
        <v>660</v>
      </c>
      <c r="O538" s="30" t="n">
        <f aca="false">IFERROR(N538/J538,0)</f>
        <v>0.532258064516129</v>
      </c>
      <c r="P538" s="27"/>
      <c r="Q538" s="27" t="s">
        <v>153</v>
      </c>
      <c r="R538" s="27" t="s">
        <v>154</v>
      </c>
      <c r="S538" s="27" t="n">
        <v>48</v>
      </c>
      <c r="T538" s="27"/>
    </row>
    <row r="539" customFormat="false" ht="15" hidden="false" customHeight="false" outlineLevel="0" collapsed="false">
      <c r="A539" s="26" t="n">
        <v>46104</v>
      </c>
      <c r="B539" s="27" t="n">
        <v>2026</v>
      </c>
      <c r="C539" s="27" t="n">
        <v>3</v>
      </c>
      <c r="D539" s="27" t="s">
        <v>82</v>
      </c>
      <c r="E539" s="27" t="s">
        <v>93</v>
      </c>
      <c r="F539" s="27" t="s">
        <v>108</v>
      </c>
      <c r="G539" s="27" t="s">
        <v>117</v>
      </c>
      <c r="H539" s="28" t="n">
        <v>4</v>
      </c>
      <c r="I539" s="29" t="n">
        <v>1450</v>
      </c>
      <c r="J539" s="29" t="n">
        <v>5800</v>
      </c>
      <c r="K539" s="29" t="n">
        <f aca="false">H539*I539</f>
        <v>5800</v>
      </c>
      <c r="L539" s="29" t="n">
        <f aca="false">IFERROR(INDEX(Cat_Productos!$B$2:$B$6,MATCH(G539,Cat_Productos!$A$2:$A$6,0)),"")</f>
        <v>780</v>
      </c>
      <c r="M539" s="29" t="n">
        <f aca="false">IF(L539="","",H539*L539)</f>
        <v>3120</v>
      </c>
      <c r="N539" s="29" t="n">
        <f aca="false">IF(M539="","",J539-M539)</f>
        <v>2680</v>
      </c>
      <c r="O539" s="30" t="n">
        <f aca="false">IFERROR(N539/J539,0)</f>
        <v>0.462068965517241</v>
      </c>
      <c r="P539" s="27"/>
      <c r="Q539" s="27" t="s">
        <v>153</v>
      </c>
      <c r="R539" s="27" t="s">
        <v>154</v>
      </c>
      <c r="S539" s="27" t="n">
        <v>75</v>
      </c>
      <c r="T539" s="27"/>
    </row>
    <row r="540" customFormat="false" ht="15" hidden="false" customHeight="false" outlineLevel="0" collapsed="false">
      <c r="A540" s="26" t="n">
        <v>46104</v>
      </c>
      <c r="B540" s="27" t="n">
        <v>2026</v>
      </c>
      <c r="C540" s="27" t="n">
        <v>3</v>
      </c>
      <c r="D540" s="27" t="s">
        <v>82</v>
      </c>
      <c r="E540" s="27" t="s">
        <v>93</v>
      </c>
      <c r="F540" s="27" t="s">
        <v>108</v>
      </c>
      <c r="G540" s="27" t="s">
        <v>116</v>
      </c>
      <c r="H540" s="28" t="n">
        <v>4</v>
      </c>
      <c r="I540" s="29" t="n">
        <v>620</v>
      </c>
      <c r="J540" s="29" t="n">
        <v>2480</v>
      </c>
      <c r="K540" s="29" t="n">
        <f aca="false">H540*I540</f>
        <v>2480</v>
      </c>
      <c r="L540" s="29" t="n">
        <f aca="false">IFERROR(INDEX(Cat_Productos!$B$2:$B$6,MATCH(G540,Cat_Productos!$A$2:$A$6,0)),"")</f>
        <v>290</v>
      </c>
      <c r="M540" s="29" t="n">
        <f aca="false">IF(L540="","",H540*L540)</f>
        <v>1160</v>
      </c>
      <c r="N540" s="29" t="n">
        <f aca="false">IF(M540="","",J540-M540)</f>
        <v>1320</v>
      </c>
      <c r="O540" s="30" t="n">
        <f aca="false">IFERROR(N540/J540,0)</f>
        <v>0.532258064516129</v>
      </c>
      <c r="P540" s="27"/>
      <c r="Q540" s="27" t="s">
        <v>153</v>
      </c>
      <c r="R540" s="27" t="s">
        <v>154</v>
      </c>
      <c r="S540" s="27" t="n">
        <v>91</v>
      </c>
      <c r="T540" s="27"/>
    </row>
    <row r="541" customFormat="false" ht="15" hidden="false" customHeight="false" outlineLevel="0" collapsed="false">
      <c r="A541" s="26" t="n">
        <v>46104</v>
      </c>
      <c r="B541" s="27" t="n">
        <v>2026</v>
      </c>
      <c r="C541" s="27" t="n">
        <v>3</v>
      </c>
      <c r="D541" s="27" t="s">
        <v>82</v>
      </c>
      <c r="E541" s="27" t="s">
        <v>91</v>
      </c>
      <c r="F541" s="27" t="s">
        <v>103</v>
      </c>
      <c r="G541" s="27" t="s">
        <v>117</v>
      </c>
      <c r="H541" s="28" t="n">
        <v>6</v>
      </c>
      <c r="I541" s="29" t="n">
        <v>1450</v>
      </c>
      <c r="J541" s="29" t="n">
        <v>8700</v>
      </c>
      <c r="K541" s="29" t="n">
        <f aca="false">H541*I541</f>
        <v>8700</v>
      </c>
      <c r="L541" s="29" t="n">
        <f aca="false">IFERROR(INDEX(Cat_Productos!$B$2:$B$6,MATCH(G541,Cat_Productos!$A$2:$A$6,0)),"")</f>
        <v>780</v>
      </c>
      <c r="M541" s="29" t="n">
        <f aca="false">IF(L541="","",H541*L541)</f>
        <v>4680</v>
      </c>
      <c r="N541" s="29" t="n">
        <f aca="false">IF(M541="","",J541-M541)</f>
        <v>4020</v>
      </c>
      <c r="O541" s="30" t="n">
        <f aca="false">IFERROR(N541/J541,0)</f>
        <v>0.462068965517241</v>
      </c>
      <c r="P541" s="27"/>
      <c r="Q541" s="27" t="s">
        <v>153</v>
      </c>
      <c r="R541" s="27" t="s">
        <v>154</v>
      </c>
      <c r="S541" s="27" t="n">
        <v>150</v>
      </c>
      <c r="T541" s="27"/>
    </row>
    <row r="542" customFormat="false" ht="15" hidden="false" customHeight="false" outlineLevel="0" collapsed="false">
      <c r="A542" s="26" t="n">
        <v>46104</v>
      </c>
      <c r="B542" s="27" t="n">
        <v>2026</v>
      </c>
      <c r="C542" s="27" t="n">
        <v>3</v>
      </c>
      <c r="D542" s="27" t="s">
        <v>82</v>
      </c>
      <c r="E542" s="27" t="s">
        <v>91</v>
      </c>
      <c r="F542" s="27" t="s">
        <v>107</v>
      </c>
      <c r="G542" s="27" t="s">
        <v>114</v>
      </c>
      <c r="H542" s="28" t="n">
        <v>2</v>
      </c>
      <c r="I542" s="29" t="n">
        <v>24500</v>
      </c>
      <c r="J542" s="29" t="n">
        <v>49000</v>
      </c>
      <c r="K542" s="29" t="n">
        <f aca="false">H542*I542</f>
        <v>49000</v>
      </c>
      <c r="L542" s="29" t="n">
        <f aca="false">IFERROR(INDEX(Cat_Productos!$B$2:$B$6,MATCH(G542,Cat_Productos!$A$2:$A$6,0)),"")</f>
        <v>19200</v>
      </c>
      <c r="M542" s="29" t="n">
        <f aca="false">IF(L542="","",H542*L542)</f>
        <v>38400</v>
      </c>
      <c r="N542" s="29" t="n">
        <f aca="false">IF(M542="","",J542-M542)</f>
        <v>10600</v>
      </c>
      <c r="O542" s="30" t="n">
        <f aca="false">IFERROR(N542/J542,0)</f>
        <v>0.216326530612245</v>
      </c>
      <c r="P542" s="27"/>
      <c r="Q542" s="27" t="s">
        <v>153</v>
      </c>
      <c r="R542" s="27" t="s">
        <v>154</v>
      </c>
      <c r="S542" s="27" t="n">
        <v>102</v>
      </c>
      <c r="T542" s="27"/>
    </row>
    <row r="543" customFormat="false" ht="15" hidden="false" customHeight="false" outlineLevel="0" collapsed="false">
      <c r="A543" s="26" t="n">
        <v>46104</v>
      </c>
      <c r="B543" s="27" t="n">
        <v>2026</v>
      </c>
      <c r="C543" s="27" t="n">
        <v>3</v>
      </c>
      <c r="D543" s="27" t="s">
        <v>82</v>
      </c>
      <c r="E543" s="27" t="s">
        <v>91</v>
      </c>
      <c r="F543" s="27" t="s">
        <v>103</v>
      </c>
      <c r="G543" s="27" t="s">
        <v>116</v>
      </c>
      <c r="H543" s="28" t="n">
        <v>2</v>
      </c>
      <c r="I543" s="29" t="n">
        <v>620</v>
      </c>
      <c r="J543" s="29" t="n">
        <v>1240</v>
      </c>
      <c r="K543" s="29" t="n">
        <f aca="false">H543*I543</f>
        <v>1240</v>
      </c>
      <c r="L543" s="29" t="n">
        <f aca="false">IFERROR(INDEX(Cat_Productos!$B$2:$B$6,MATCH(G543,Cat_Productos!$A$2:$A$6,0)),"")</f>
        <v>290</v>
      </c>
      <c r="M543" s="29" t="n">
        <f aca="false">IF(L543="","",H543*L543)</f>
        <v>580</v>
      </c>
      <c r="N543" s="29" t="n">
        <f aca="false">IF(M543="","",J543-M543)</f>
        <v>660</v>
      </c>
      <c r="O543" s="30" t="n">
        <f aca="false">IFERROR(N543/J543,0)</f>
        <v>0.532258064516129</v>
      </c>
      <c r="P543" s="27"/>
      <c r="Q543" s="27" t="s">
        <v>153</v>
      </c>
      <c r="R543" s="27" t="s">
        <v>154</v>
      </c>
      <c r="S543" s="27" t="n">
        <v>178</v>
      </c>
      <c r="T543" s="27"/>
    </row>
    <row r="544" customFormat="false" ht="15" hidden="false" customHeight="false" outlineLevel="0" collapsed="false">
      <c r="A544" s="26" t="n">
        <v>46104</v>
      </c>
      <c r="B544" s="27" t="n">
        <v>2026</v>
      </c>
      <c r="C544" s="27" t="n">
        <v>3</v>
      </c>
      <c r="D544" s="27" t="s">
        <v>82</v>
      </c>
      <c r="E544" s="27" t="s">
        <v>92</v>
      </c>
      <c r="F544" s="27" t="s">
        <v>105</v>
      </c>
      <c r="G544" s="27" t="s">
        <v>116</v>
      </c>
      <c r="H544" s="28" t="n">
        <v>4</v>
      </c>
      <c r="I544" s="29" t="n">
        <v>620</v>
      </c>
      <c r="J544" s="29" t="n">
        <v>2480</v>
      </c>
      <c r="K544" s="29" t="n">
        <f aca="false">H544*I544</f>
        <v>2480</v>
      </c>
      <c r="L544" s="29" t="n">
        <f aca="false">IFERROR(INDEX(Cat_Productos!$B$2:$B$6,MATCH(G544,Cat_Productos!$A$2:$A$6,0)),"")</f>
        <v>290</v>
      </c>
      <c r="M544" s="29" t="n">
        <f aca="false">IF(L544="","",H544*L544)</f>
        <v>1160</v>
      </c>
      <c r="N544" s="29" t="n">
        <f aca="false">IF(M544="","",J544-M544)</f>
        <v>1320</v>
      </c>
      <c r="O544" s="30" t="n">
        <f aca="false">IFERROR(N544/J544,0)</f>
        <v>0.532258064516129</v>
      </c>
      <c r="P544" s="27"/>
      <c r="Q544" s="27" t="s">
        <v>153</v>
      </c>
      <c r="R544" s="27" t="s">
        <v>154</v>
      </c>
      <c r="S544" s="27" t="n">
        <v>56</v>
      </c>
      <c r="T544" s="27"/>
    </row>
    <row r="545" customFormat="false" ht="15" hidden="false" customHeight="false" outlineLevel="0" collapsed="false">
      <c r="A545" s="26" t="n">
        <v>46104</v>
      </c>
      <c r="B545" s="27" t="n">
        <v>2026</v>
      </c>
      <c r="C545" s="27" t="n">
        <v>3</v>
      </c>
      <c r="D545" s="27" t="s">
        <v>82</v>
      </c>
      <c r="E545" s="27" t="s">
        <v>93</v>
      </c>
      <c r="F545" s="27" t="s">
        <v>104</v>
      </c>
      <c r="G545" s="27" t="s">
        <v>117</v>
      </c>
      <c r="H545" s="28" t="n">
        <v>6</v>
      </c>
      <c r="I545" s="29" t="n">
        <v>1450</v>
      </c>
      <c r="J545" s="29" t="n">
        <v>8700</v>
      </c>
      <c r="K545" s="29" t="n">
        <f aca="false">H545*I545</f>
        <v>8700</v>
      </c>
      <c r="L545" s="29" t="n">
        <f aca="false">IFERROR(INDEX(Cat_Productos!$B$2:$B$6,MATCH(G545,Cat_Productos!$A$2:$A$6,0)),"")</f>
        <v>780</v>
      </c>
      <c r="M545" s="29" t="n">
        <f aca="false">IF(L545="","",H545*L545)</f>
        <v>4680</v>
      </c>
      <c r="N545" s="29" t="n">
        <f aca="false">IF(M545="","",J545-M545)</f>
        <v>4020</v>
      </c>
      <c r="O545" s="30" t="n">
        <f aca="false">IFERROR(N545/J545,0)</f>
        <v>0.462068965517241</v>
      </c>
      <c r="P545" s="27"/>
      <c r="Q545" s="27" t="s">
        <v>153</v>
      </c>
      <c r="R545" s="27" t="s">
        <v>154</v>
      </c>
      <c r="S545" s="27" t="n">
        <v>214</v>
      </c>
      <c r="T545" s="27"/>
    </row>
    <row r="546" customFormat="false" ht="15" hidden="false" customHeight="false" outlineLevel="0" collapsed="false">
      <c r="A546" s="26" t="n">
        <v>46104</v>
      </c>
      <c r="B546" s="27" t="n">
        <v>2026</v>
      </c>
      <c r="C546" s="27" t="n">
        <v>3</v>
      </c>
      <c r="D546" s="27" t="s">
        <v>82</v>
      </c>
      <c r="E546" s="27" t="s">
        <v>93</v>
      </c>
      <c r="F546" s="27" t="s">
        <v>104</v>
      </c>
      <c r="G546" s="27" t="s">
        <v>117</v>
      </c>
      <c r="H546" s="28" t="n">
        <v>1</v>
      </c>
      <c r="I546" s="29" t="n">
        <v>1450</v>
      </c>
      <c r="J546" s="29" t="n">
        <v>1450</v>
      </c>
      <c r="K546" s="29" t="n">
        <f aca="false">H546*I546</f>
        <v>1450</v>
      </c>
      <c r="L546" s="29" t="n">
        <f aca="false">IFERROR(INDEX(Cat_Productos!$B$2:$B$6,MATCH(G546,Cat_Productos!$A$2:$A$6,0)),"")</f>
        <v>780</v>
      </c>
      <c r="M546" s="29" t="n">
        <f aca="false">IF(L546="","",H546*L546)</f>
        <v>780</v>
      </c>
      <c r="N546" s="29" t="n">
        <f aca="false">IF(M546="","",J546-M546)</f>
        <v>670</v>
      </c>
      <c r="O546" s="30" t="n">
        <f aca="false">IFERROR(N546/J546,0)</f>
        <v>0.462068965517241</v>
      </c>
      <c r="P546" s="27"/>
      <c r="Q546" s="27" t="s">
        <v>153</v>
      </c>
      <c r="R546" s="27" t="s">
        <v>154</v>
      </c>
      <c r="S546" s="27" t="n">
        <v>216</v>
      </c>
      <c r="T546" s="27"/>
    </row>
    <row r="547" customFormat="false" ht="15" hidden="false" customHeight="false" outlineLevel="0" collapsed="false">
      <c r="A547" s="26" t="n">
        <v>46104</v>
      </c>
      <c r="B547" s="27" t="n">
        <v>2026</v>
      </c>
      <c r="C547" s="27" t="n">
        <v>3</v>
      </c>
      <c r="D547" s="27" t="s">
        <v>82</v>
      </c>
      <c r="E547" s="27" t="s">
        <v>91</v>
      </c>
      <c r="F547" s="27" t="s">
        <v>107</v>
      </c>
      <c r="G547" s="27" t="s">
        <v>116</v>
      </c>
      <c r="H547" s="28" t="n">
        <v>6</v>
      </c>
      <c r="I547" s="29" t="n">
        <v>620</v>
      </c>
      <c r="J547" s="29" t="n">
        <v>3720</v>
      </c>
      <c r="K547" s="29" t="n">
        <f aca="false">H547*I547</f>
        <v>3720</v>
      </c>
      <c r="L547" s="29" t="n">
        <f aca="false">IFERROR(INDEX(Cat_Productos!$B$2:$B$6,MATCH(G547,Cat_Productos!$A$2:$A$6,0)),"")</f>
        <v>290</v>
      </c>
      <c r="M547" s="29" t="n">
        <f aca="false">IF(L547="","",H547*L547)</f>
        <v>1740</v>
      </c>
      <c r="N547" s="29" t="n">
        <f aca="false">IF(M547="","",J547-M547)</f>
        <v>1980</v>
      </c>
      <c r="O547" s="30" t="n">
        <f aca="false">IFERROR(N547/J547,0)</f>
        <v>0.532258064516129</v>
      </c>
      <c r="P547" s="27"/>
      <c r="Q547" s="27" t="s">
        <v>153</v>
      </c>
      <c r="R547" s="27" t="s">
        <v>154</v>
      </c>
      <c r="S547" s="27" t="n">
        <v>124</v>
      </c>
      <c r="T547" s="27"/>
    </row>
    <row r="548" customFormat="false" ht="15" hidden="false" customHeight="false" outlineLevel="0" collapsed="false">
      <c r="A548" s="26" t="n">
        <v>46104</v>
      </c>
      <c r="B548" s="27" t="n">
        <v>2026</v>
      </c>
      <c r="C548" s="27" t="n">
        <v>3</v>
      </c>
      <c r="D548" s="27" t="s">
        <v>82</v>
      </c>
      <c r="E548" s="27" t="s">
        <v>91</v>
      </c>
      <c r="F548" s="27" t="s">
        <v>103</v>
      </c>
      <c r="G548" s="27" t="s">
        <v>117</v>
      </c>
      <c r="H548" s="28" t="n">
        <v>3</v>
      </c>
      <c r="I548" s="29" t="n">
        <v>1450</v>
      </c>
      <c r="J548" s="29" t="n">
        <v>4350</v>
      </c>
      <c r="K548" s="29" t="n">
        <f aca="false">H548*I548</f>
        <v>4350</v>
      </c>
      <c r="L548" s="29" t="n">
        <f aca="false">IFERROR(INDEX(Cat_Productos!$B$2:$B$6,MATCH(G548,Cat_Productos!$A$2:$A$6,0)),"")</f>
        <v>780</v>
      </c>
      <c r="M548" s="29" t="n">
        <f aca="false">IF(L548="","",H548*L548)</f>
        <v>2340</v>
      </c>
      <c r="N548" s="29" t="n">
        <f aca="false">IF(M548="","",J548-M548)</f>
        <v>2010</v>
      </c>
      <c r="O548" s="30" t="n">
        <f aca="false">IFERROR(N548/J548,0)</f>
        <v>0.462068965517241</v>
      </c>
      <c r="P548" s="27"/>
      <c r="Q548" s="27" t="s">
        <v>153</v>
      </c>
      <c r="R548" s="27" t="s">
        <v>154</v>
      </c>
      <c r="S548" s="27" t="n">
        <v>162</v>
      </c>
      <c r="T548" s="27"/>
    </row>
    <row r="549" customFormat="false" ht="15" hidden="false" customHeight="false" outlineLevel="0" collapsed="false">
      <c r="A549" s="26" t="n">
        <v>46104</v>
      </c>
      <c r="B549" s="27" t="n">
        <v>2026</v>
      </c>
      <c r="C549" s="27" t="n">
        <v>3</v>
      </c>
      <c r="D549" s="27" t="s">
        <v>82</v>
      </c>
      <c r="E549" s="27" t="s">
        <v>93</v>
      </c>
      <c r="F549" s="27" t="s">
        <v>108</v>
      </c>
      <c r="G549" s="27" t="s">
        <v>116</v>
      </c>
      <c r="H549" s="28" t="n">
        <v>4</v>
      </c>
      <c r="I549" s="29" t="n">
        <v>620</v>
      </c>
      <c r="J549" s="29" t="n">
        <v>2480</v>
      </c>
      <c r="K549" s="29" t="n">
        <f aca="false">H549*I549</f>
        <v>2480</v>
      </c>
      <c r="L549" s="29" t="n">
        <f aca="false">IFERROR(INDEX(Cat_Productos!$B$2:$B$6,MATCH(G549,Cat_Productos!$A$2:$A$6,0)),"")</f>
        <v>290</v>
      </c>
      <c r="M549" s="29" t="n">
        <f aca="false">IF(L549="","",H549*L549)</f>
        <v>1160</v>
      </c>
      <c r="N549" s="29" t="n">
        <f aca="false">IF(M549="","",J549-M549)</f>
        <v>1320</v>
      </c>
      <c r="O549" s="30" t="n">
        <f aca="false">IFERROR(N549/J549,0)</f>
        <v>0.532258064516129</v>
      </c>
      <c r="P549" s="27"/>
      <c r="Q549" s="27" t="s">
        <v>153</v>
      </c>
      <c r="R549" s="27" t="s">
        <v>154</v>
      </c>
      <c r="S549" s="27" t="n">
        <v>95</v>
      </c>
      <c r="T549" s="27"/>
    </row>
    <row r="550" customFormat="false" ht="15" hidden="false" customHeight="false" outlineLevel="0" collapsed="false">
      <c r="A550" s="26" t="n">
        <v>46106</v>
      </c>
      <c r="B550" s="27" t="n">
        <v>2026</v>
      </c>
      <c r="C550" s="27" t="n">
        <v>3</v>
      </c>
      <c r="D550" s="27" t="s">
        <v>82</v>
      </c>
      <c r="E550" s="27" t="s">
        <v>93</v>
      </c>
      <c r="F550" s="27" t="s">
        <v>104</v>
      </c>
      <c r="G550" s="27" t="s">
        <v>117</v>
      </c>
      <c r="H550" s="28" t="n">
        <v>6</v>
      </c>
      <c r="I550" s="29" t="n">
        <v>1450</v>
      </c>
      <c r="J550" s="29" t="n">
        <v>8700</v>
      </c>
      <c r="K550" s="29" t="n">
        <f aca="false">H550*I550</f>
        <v>8700</v>
      </c>
      <c r="L550" s="29" t="n">
        <f aca="false">IFERROR(INDEX(Cat_Productos!$B$2:$B$6,MATCH(G550,Cat_Productos!$A$2:$A$6,0)),"")</f>
        <v>780</v>
      </c>
      <c r="M550" s="29" t="n">
        <f aca="false">IF(L550="","",H550*L550)</f>
        <v>4680</v>
      </c>
      <c r="N550" s="29" t="n">
        <f aca="false">IF(M550="","",J550-M550)</f>
        <v>4020</v>
      </c>
      <c r="O550" s="30" t="n">
        <f aca="false">IFERROR(N550/J550,0)</f>
        <v>0.462068965517241</v>
      </c>
      <c r="P550" s="27"/>
      <c r="Q550" s="27" t="s">
        <v>153</v>
      </c>
      <c r="R550" s="27" t="s">
        <v>154</v>
      </c>
      <c r="S550" s="27" t="n">
        <v>215</v>
      </c>
      <c r="T550" s="27"/>
    </row>
    <row r="551" customFormat="false" ht="15" hidden="false" customHeight="false" outlineLevel="0" collapsed="false">
      <c r="A551" s="26" t="n">
        <v>46106</v>
      </c>
      <c r="B551" s="27" t="n">
        <v>2026</v>
      </c>
      <c r="C551" s="27" t="n">
        <v>3</v>
      </c>
      <c r="D551" s="27" t="s">
        <v>82</v>
      </c>
      <c r="E551" s="27" t="s">
        <v>92</v>
      </c>
      <c r="F551" s="27" t="s">
        <v>105</v>
      </c>
      <c r="G551" s="27" t="s">
        <v>117</v>
      </c>
      <c r="H551" s="28" t="n">
        <v>4</v>
      </c>
      <c r="I551" s="29" t="n">
        <v>1450</v>
      </c>
      <c r="J551" s="29" t="n">
        <v>5800</v>
      </c>
      <c r="K551" s="29" t="n">
        <f aca="false">H551*I551</f>
        <v>5800</v>
      </c>
      <c r="L551" s="29" t="n">
        <f aca="false">IFERROR(INDEX(Cat_Productos!$B$2:$B$6,MATCH(G551,Cat_Productos!$A$2:$A$6,0)),"")</f>
        <v>780</v>
      </c>
      <c r="M551" s="29" t="n">
        <f aca="false">IF(L551="","",H551*L551)</f>
        <v>3120</v>
      </c>
      <c r="N551" s="29" t="n">
        <f aca="false">IF(M551="","",J551-M551)</f>
        <v>2680</v>
      </c>
      <c r="O551" s="30" t="n">
        <f aca="false">IFERROR(N551/J551,0)</f>
        <v>0.462068965517241</v>
      </c>
      <c r="P551" s="27"/>
      <c r="Q551" s="27" t="s">
        <v>153</v>
      </c>
      <c r="R551" s="27" t="s">
        <v>154</v>
      </c>
      <c r="S551" s="27" t="n">
        <v>13</v>
      </c>
      <c r="T551" s="27"/>
    </row>
    <row r="552" customFormat="false" ht="15" hidden="false" customHeight="false" outlineLevel="0" collapsed="false">
      <c r="A552" s="26" t="n">
        <v>46106</v>
      </c>
      <c r="B552" s="27" t="n">
        <v>2026</v>
      </c>
      <c r="C552" s="27" t="n">
        <v>3</v>
      </c>
      <c r="D552" s="27" t="s">
        <v>82</v>
      </c>
      <c r="E552" s="27" t="s">
        <v>93</v>
      </c>
      <c r="F552" s="27" t="s">
        <v>104</v>
      </c>
      <c r="G552" s="27" t="s">
        <v>116</v>
      </c>
      <c r="H552" s="28" t="n">
        <v>4</v>
      </c>
      <c r="I552" s="29" t="n">
        <v>620</v>
      </c>
      <c r="J552" s="29" t="n">
        <v>2480</v>
      </c>
      <c r="K552" s="29" t="n">
        <f aca="false">H552*I552</f>
        <v>2480</v>
      </c>
      <c r="L552" s="29" t="n">
        <f aca="false">IFERROR(INDEX(Cat_Productos!$B$2:$B$6,MATCH(G552,Cat_Productos!$A$2:$A$6,0)),"")</f>
        <v>290</v>
      </c>
      <c r="M552" s="29" t="n">
        <f aca="false">IF(L552="","",H552*L552)</f>
        <v>1160</v>
      </c>
      <c r="N552" s="29" t="n">
        <f aca="false">IF(M552="","",J552-M552)</f>
        <v>1320</v>
      </c>
      <c r="O552" s="30" t="n">
        <f aca="false">IFERROR(N552/J552,0)</f>
        <v>0.532258064516129</v>
      </c>
      <c r="P552" s="27"/>
      <c r="Q552" s="27" t="s">
        <v>153</v>
      </c>
      <c r="R552" s="27" t="s">
        <v>154</v>
      </c>
      <c r="S552" s="27" t="n">
        <v>223</v>
      </c>
      <c r="T552" s="27"/>
    </row>
    <row r="553" customFormat="false" ht="15" hidden="false" customHeight="false" outlineLevel="0" collapsed="false">
      <c r="A553" s="26" t="n">
        <v>46106</v>
      </c>
      <c r="B553" s="27" t="n">
        <v>2026</v>
      </c>
      <c r="C553" s="27" t="n">
        <v>3</v>
      </c>
      <c r="D553" s="27" t="s">
        <v>82</v>
      </c>
      <c r="E553" s="27" t="s">
        <v>93</v>
      </c>
      <c r="F553" s="27" t="s">
        <v>108</v>
      </c>
      <c r="G553" s="27" t="s">
        <v>114</v>
      </c>
      <c r="H553" s="28" t="n">
        <v>2</v>
      </c>
      <c r="I553" s="29" t="n">
        <v>24500</v>
      </c>
      <c r="J553" s="29" t="n">
        <v>49000</v>
      </c>
      <c r="K553" s="29" t="n">
        <f aca="false">H553*I553</f>
        <v>49000</v>
      </c>
      <c r="L553" s="29" t="n">
        <f aca="false">IFERROR(INDEX(Cat_Productos!$B$2:$B$6,MATCH(G553,Cat_Productos!$A$2:$A$6,0)),"")</f>
        <v>19200</v>
      </c>
      <c r="M553" s="29" t="n">
        <f aca="false">IF(L553="","",H553*L553)</f>
        <v>38400</v>
      </c>
      <c r="N553" s="29" t="n">
        <f aca="false">IF(M553="","",J553-M553)</f>
        <v>10600</v>
      </c>
      <c r="O553" s="30" t="n">
        <f aca="false">IFERROR(N553/J553,0)</f>
        <v>0.216326530612245</v>
      </c>
      <c r="P553" s="27"/>
      <c r="Q553" s="27" t="s">
        <v>153</v>
      </c>
      <c r="R553" s="27" t="s">
        <v>154</v>
      </c>
      <c r="S553" s="27" t="n">
        <v>60</v>
      </c>
      <c r="T553" s="27"/>
    </row>
    <row r="554" customFormat="false" ht="15" hidden="false" customHeight="false" outlineLevel="0" collapsed="false">
      <c r="A554" s="26" t="n">
        <v>46106</v>
      </c>
      <c r="B554" s="27" t="n">
        <v>2026</v>
      </c>
      <c r="C554" s="27" t="n">
        <v>3</v>
      </c>
      <c r="D554" s="27" t="s">
        <v>82</v>
      </c>
      <c r="E554" s="27" t="s">
        <v>93</v>
      </c>
      <c r="F554" s="27" t="s">
        <v>104</v>
      </c>
      <c r="G554" s="27" t="s">
        <v>114</v>
      </c>
      <c r="H554" s="28" t="n">
        <v>1</v>
      </c>
      <c r="I554" s="29" t="n">
        <v>24500</v>
      </c>
      <c r="J554" s="29" t="n">
        <v>24500</v>
      </c>
      <c r="K554" s="29" t="n">
        <f aca="false">H554*I554</f>
        <v>24500</v>
      </c>
      <c r="L554" s="29" t="n">
        <f aca="false">IFERROR(INDEX(Cat_Productos!$B$2:$B$6,MATCH(G554,Cat_Productos!$A$2:$A$6,0)),"")</f>
        <v>19200</v>
      </c>
      <c r="M554" s="29" t="n">
        <f aca="false">IF(L554="","",H554*L554)</f>
        <v>19200</v>
      </c>
      <c r="N554" s="29" t="n">
        <f aca="false">IF(M554="","",J554-M554)</f>
        <v>5300</v>
      </c>
      <c r="O554" s="30" t="n">
        <f aca="false">IFERROR(N554/J554,0)</f>
        <v>0.216326530612245</v>
      </c>
      <c r="P554" s="27"/>
      <c r="Q554" s="27" t="s">
        <v>153</v>
      </c>
      <c r="R554" s="27" t="s">
        <v>154</v>
      </c>
      <c r="S554" s="27" t="n">
        <v>209</v>
      </c>
      <c r="T554" s="27"/>
    </row>
    <row r="555" customFormat="false" ht="15" hidden="false" customHeight="false" outlineLevel="0" collapsed="false">
      <c r="A555" s="26" t="n">
        <v>46106</v>
      </c>
      <c r="B555" s="27" t="n">
        <v>2026</v>
      </c>
      <c r="C555" s="27" t="n">
        <v>3</v>
      </c>
      <c r="D555" s="27" t="s">
        <v>82</v>
      </c>
      <c r="E555" s="27" t="s">
        <v>92</v>
      </c>
      <c r="F555" s="27" t="s">
        <v>106</v>
      </c>
      <c r="G555" s="27" t="s">
        <v>116</v>
      </c>
      <c r="H555" s="28" t="n">
        <v>4</v>
      </c>
      <c r="I555" s="29" t="n">
        <v>620</v>
      </c>
      <c r="J555" s="29" t="n">
        <v>2480</v>
      </c>
      <c r="K555" s="29" t="n">
        <f aca="false">H555*I555</f>
        <v>2480</v>
      </c>
      <c r="L555" s="29" t="n">
        <f aca="false">IFERROR(INDEX(Cat_Productos!$B$2:$B$6,MATCH(G555,Cat_Productos!$A$2:$A$6,0)),"")</f>
        <v>290</v>
      </c>
      <c r="M555" s="29" t="n">
        <f aca="false">IF(L555="","",H555*L555)</f>
        <v>1160</v>
      </c>
      <c r="N555" s="29" t="n">
        <f aca="false">IF(M555="","",J555-M555)</f>
        <v>1320</v>
      </c>
      <c r="O555" s="30" t="n">
        <f aca="false">IFERROR(N555/J555,0)</f>
        <v>0.532258064516129</v>
      </c>
      <c r="P555" s="27"/>
      <c r="Q555" s="27" t="s">
        <v>153</v>
      </c>
      <c r="R555" s="27" t="s">
        <v>154</v>
      </c>
      <c r="S555" s="27" t="n">
        <v>198</v>
      </c>
      <c r="T555" s="27"/>
    </row>
    <row r="556" customFormat="false" ht="15" hidden="false" customHeight="false" outlineLevel="0" collapsed="false">
      <c r="A556" s="26" t="n">
        <v>46106</v>
      </c>
      <c r="B556" s="27" t="n">
        <v>2026</v>
      </c>
      <c r="C556" s="27" t="n">
        <v>3</v>
      </c>
      <c r="D556" s="27" t="s">
        <v>82</v>
      </c>
      <c r="E556" s="27" t="s">
        <v>91</v>
      </c>
      <c r="F556" s="27" t="s">
        <v>107</v>
      </c>
      <c r="G556" s="27" t="s">
        <v>117</v>
      </c>
      <c r="H556" s="28" t="n">
        <v>4</v>
      </c>
      <c r="I556" s="29" t="n">
        <v>1450</v>
      </c>
      <c r="J556" s="29" t="n">
        <v>5800</v>
      </c>
      <c r="K556" s="29" t="n">
        <f aca="false">H556*I556</f>
        <v>5800</v>
      </c>
      <c r="L556" s="29" t="n">
        <f aca="false">IFERROR(INDEX(Cat_Productos!$B$2:$B$6,MATCH(G556,Cat_Productos!$A$2:$A$6,0)),"")</f>
        <v>780</v>
      </c>
      <c r="M556" s="29" t="n">
        <f aca="false">IF(L556="","",H556*L556)</f>
        <v>3120</v>
      </c>
      <c r="N556" s="29" t="n">
        <f aca="false">IF(M556="","",J556-M556)</f>
        <v>2680</v>
      </c>
      <c r="O556" s="30" t="n">
        <f aca="false">IFERROR(N556/J556,0)</f>
        <v>0.462068965517241</v>
      </c>
      <c r="P556" s="27"/>
      <c r="Q556" s="27" t="s">
        <v>153</v>
      </c>
      <c r="R556" s="27" t="s">
        <v>154</v>
      </c>
      <c r="S556" s="27" t="n">
        <v>117</v>
      </c>
      <c r="T556" s="27"/>
    </row>
    <row r="557" customFormat="false" ht="15" hidden="false" customHeight="false" outlineLevel="0" collapsed="false">
      <c r="A557" s="26" t="n">
        <v>46106</v>
      </c>
      <c r="B557" s="27" t="n">
        <v>2026</v>
      </c>
      <c r="C557" s="27" t="n">
        <v>3</v>
      </c>
      <c r="D557" s="27" t="s">
        <v>82</v>
      </c>
      <c r="E557" s="27" t="s">
        <v>91</v>
      </c>
      <c r="F557" s="27" t="s">
        <v>103</v>
      </c>
      <c r="G557" s="27" t="s">
        <v>116</v>
      </c>
      <c r="H557" s="28" t="n">
        <v>2</v>
      </c>
      <c r="I557" s="29" t="n">
        <v>620</v>
      </c>
      <c r="J557" s="29" t="n">
        <v>1240</v>
      </c>
      <c r="K557" s="29" t="n">
        <f aca="false">H557*I557</f>
        <v>1240</v>
      </c>
      <c r="L557" s="29" t="n">
        <f aca="false">IFERROR(INDEX(Cat_Productos!$B$2:$B$6,MATCH(G557,Cat_Productos!$A$2:$A$6,0)),"")</f>
        <v>290</v>
      </c>
      <c r="M557" s="29" t="n">
        <f aca="false">IF(L557="","",H557*L557)</f>
        <v>580</v>
      </c>
      <c r="N557" s="29" t="n">
        <f aca="false">IF(M557="","",J557-M557)</f>
        <v>660</v>
      </c>
      <c r="O557" s="30" t="n">
        <f aca="false">IFERROR(N557/J557,0)</f>
        <v>0.532258064516129</v>
      </c>
      <c r="P557" s="27"/>
      <c r="Q557" s="27" t="s">
        <v>153</v>
      </c>
      <c r="R557" s="27" t="s">
        <v>154</v>
      </c>
      <c r="S557" s="27" t="n">
        <v>177</v>
      </c>
      <c r="T557" s="27"/>
    </row>
    <row r="558" customFormat="false" ht="15" hidden="false" customHeight="false" outlineLevel="0" collapsed="false">
      <c r="A558" s="26" t="n">
        <v>46106</v>
      </c>
      <c r="B558" s="27" t="n">
        <v>2026</v>
      </c>
      <c r="C558" s="27" t="n">
        <v>3</v>
      </c>
      <c r="D558" s="27" t="s">
        <v>82</v>
      </c>
      <c r="E558" s="27" t="s">
        <v>91</v>
      </c>
      <c r="F558" s="27" t="s">
        <v>107</v>
      </c>
      <c r="G558" s="27" t="s">
        <v>117</v>
      </c>
      <c r="H558" s="28" t="n">
        <v>2</v>
      </c>
      <c r="I558" s="29" t="n">
        <v>1450</v>
      </c>
      <c r="J558" s="29" t="n">
        <v>2900</v>
      </c>
      <c r="K558" s="29" t="n">
        <f aca="false">H558*I558</f>
        <v>2900</v>
      </c>
      <c r="L558" s="29" t="n">
        <f aca="false">IFERROR(INDEX(Cat_Productos!$B$2:$B$6,MATCH(G558,Cat_Productos!$A$2:$A$6,0)),"")</f>
        <v>780</v>
      </c>
      <c r="M558" s="29" t="n">
        <f aca="false">IF(L558="","",H558*L558)</f>
        <v>1560</v>
      </c>
      <c r="N558" s="29" t="n">
        <f aca="false">IF(M558="","",J558-M558)</f>
        <v>1340</v>
      </c>
      <c r="O558" s="30" t="n">
        <f aca="false">IFERROR(N558/J558,0)</f>
        <v>0.462068965517241</v>
      </c>
      <c r="P558" s="27"/>
      <c r="Q558" s="27" t="s">
        <v>153</v>
      </c>
      <c r="R558" s="27" t="s">
        <v>154</v>
      </c>
      <c r="S558" s="27" t="n">
        <v>113</v>
      </c>
      <c r="T558" s="27"/>
    </row>
    <row r="559" customFormat="false" ht="15" hidden="false" customHeight="false" outlineLevel="0" collapsed="false">
      <c r="A559" s="26" t="n">
        <v>46106</v>
      </c>
      <c r="B559" s="27" t="n">
        <v>2026</v>
      </c>
      <c r="C559" s="27" t="n">
        <v>3</v>
      </c>
      <c r="D559" s="27" t="s">
        <v>82</v>
      </c>
      <c r="E559" s="27" t="s">
        <v>91</v>
      </c>
      <c r="F559" s="27" t="s">
        <v>103</v>
      </c>
      <c r="G559" s="27" t="s">
        <v>117</v>
      </c>
      <c r="H559" s="28" t="n">
        <v>6</v>
      </c>
      <c r="I559" s="29" t="n">
        <v>1450</v>
      </c>
      <c r="J559" s="29" t="n">
        <v>8700</v>
      </c>
      <c r="K559" s="29" t="n">
        <f aca="false">H559*I559</f>
        <v>8700</v>
      </c>
      <c r="L559" s="29" t="n">
        <f aca="false">IFERROR(INDEX(Cat_Productos!$B$2:$B$6,MATCH(G559,Cat_Productos!$A$2:$A$6,0)),"")</f>
        <v>780</v>
      </c>
      <c r="M559" s="29" t="n">
        <f aca="false">IF(L559="","",H559*L559)</f>
        <v>4680</v>
      </c>
      <c r="N559" s="29" t="n">
        <f aca="false">IF(M559="","",J559-M559)</f>
        <v>4020</v>
      </c>
      <c r="O559" s="30" t="n">
        <f aca="false">IFERROR(N559/J559,0)</f>
        <v>0.462068965517241</v>
      </c>
      <c r="P559" s="27"/>
      <c r="Q559" s="27" t="s">
        <v>153</v>
      </c>
      <c r="R559" s="27" t="s">
        <v>154</v>
      </c>
      <c r="S559" s="27" t="n">
        <v>143</v>
      </c>
      <c r="T559" s="27"/>
    </row>
    <row r="560" customFormat="false" ht="15" hidden="false" customHeight="false" outlineLevel="0" collapsed="false">
      <c r="A560" s="26" t="n">
        <v>46106</v>
      </c>
      <c r="B560" s="27" t="n">
        <v>2026</v>
      </c>
      <c r="C560" s="27" t="n">
        <v>3</v>
      </c>
      <c r="D560" s="27" t="s">
        <v>82</v>
      </c>
      <c r="E560" s="27" t="s">
        <v>91</v>
      </c>
      <c r="F560" s="27" t="s">
        <v>103</v>
      </c>
      <c r="G560" s="27" t="s">
        <v>117</v>
      </c>
      <c r="H560" s="28" t="n">
        <v>2</v>
      </c>
      <c r="I560" s="29" t="n">
        <v>1450</v>
      </c>
      <c r="J560" s="29" t="n">
        <v>2900</v>
      </c>
      <c r="K560" s="29" t="n">
        <f aca="false">H560*I560</f>
        <v>2900</v>
      </c>
      <c r="L560" s="29" t="n">
        <f aca="false">IFERROR(INDEX(Cat_Productos!$B$2:$B$6,MATCH(G560,Cat_Productos!$A$2:$A$6,0)),"")</f>
        <v>780</v>
      </c>
      <c r="M560" s="29" t="n">
        <f aca="false">IF(L560="","",H560*L560)</f>
        <v>1560</v>
      </c>
      <c r="N560" s="29" t="n">
        <f aca="false">IF(M560="","",J560-M560)</f>
        <v>1340</v>
      </c>
      <c r="O560" s="30" t="n">
        <f aca="false">IFERROR(N560/J560,0)</f>
        <v>0.462068965517241</v>
      </c>
      <c r="P560" s="27"/>
      <c r="Q560" s="27" t="s">
        <v>153</v>
      </c>
      <c r="R560" s="27" t="s">
        <v>154</v>
      </c>
      <c r="S560" s="27" t="n">
        <v>141</v>
      </c>
      <c r="T560" s="27"/>
    </row>
    <row r="561" customFormat="false" ht="15" hidden="false" customHeight="false" outlineLevel="0" collapsed="false">
      <c r="A561" s="26" t="n">
        <v>46106</v>
      </c>
      <c r="B561" s="27" t="n">
        <v>2026</v>
      </c>
      <c r="C561" s="27" t="n">
        <v>3</v>
      </c>
      <c r="D561" s="27" t="s">
        <v>82</v>
      </c>
      <c r="E561" s="27" t="s">
        <v>91</v>
      </c>
      <c r="F561" s="27" t="s">
        <v>103</v>
      </c>
      <c r="G561" s="27" t="s">
        <v>117</v>
      </c>
      <c r="H561" s="28" t="n">
        <v>4</v>
      </c>
      <c r="I561" s="29" t="n">
        <v>1450</v>
      </c>
      <c r="J561" s="29" t="n">
        <v>5800</v>
      </c>
      <c r="K561" s="29" t="n">
        <f aca="false">H561*I561</f>
        <v>5800</v>
      </c>
      <c r="L561" s="29" t="n">
        <f aca="false">IFERROR(INDEX(Cat_Productos!$B$2:$B$6,MATCH(G561,Cat_Productos!$A$2:$A$6,0)),"")</f>
        <v>780</v>
      </c>
      <c r="M561" s="29" t="n">
        <f aca="false">IF(L561="","",H561*L561)</f>
        <v>3120</v>
      </c>
      <c r="N561" s="29" t="n">
        <f aca="false">IF(M561="","",J561-M561)</f>
        <v>2680</v>
      </c>
      <c r="O561" s="30" t="n">
        <f aca="false">IFERROR(N561/J561,0)</f>
        <v>0.462068965517241</v>
      </c>
      <c r="P561" s="27"/>
      <c r="Q561" s="27" t="s">
        <v>153</v>
      </c>
      <c r="R561" s="27" t="s">
        <v>154</v>
      </c>
      <c r="S561" s="27" t="n">
        <v>145</v>
      </c>
      <c r="T561" s="27"/>
    </row>
    <row r="562" customFormat="false" ht="15" hidden="false" customHeight="false" outlineLevel="0" collapsed="false">
      <c r="A562" s="26" t="n">
        <v>46106</v>
      </c>
      <c r="B562" s="27" t="n">
        <v>2026</v>
      </c>
      <c r="C562" s="27" t="n">
        <v>3</v>
      </c>
      <c r="D562" s="27" t="s">
        <v>82</v>
      </c>
      <c r="E562" s="27" t="s">
        <v>93</v>
      </c>
      <c r="F562" s="27" t="s">
        <v>108</v>
      </c>
      <c r="G562" s="27" t="s">
        <v>114</v>
      </c>
      <c r="H562" s="28" t="n">
        <v>4</v>
      </c>
      <c r="I562" s="29" t="n">
        <v>24500</v>
      </c>
      <c r="J562" s="29" t="n">
        <v>98000</v>
      </c>
      <c r="K562" s="29" t="n">
        <f aca="false">H562*I562</f>
        <v>98000</v>
      </c>
      <c r="L562" s="29" t="n">
        <f aca="false">IFERROR(INDEX(Cat_Productos!$B$2:$B$6,MATCH(G562,Cat_Productos!$A$2:$A$6,0)),"")</f>
        <v>19200</v>
      </c>
      <c r="M562" s="29" t="n">
        <f aca="false">IF(L562="","",H562*L562)</f>
        <v>76800</v>
      </c>
      <c r="N562" s="29" t="n">
        <f aca="false">IF(M562="","",J562-M562)</f>
        <v>21200</v>
      </c>
      <c r="O562" s="30" t="n">
        <f aca="false">IFERROR(N562/J562,0)</f>
        <v>0.216326530612245</v>
      </c>
      <c r="P562" s="27"/>
      <c r="Q562" s="27" t="s">
        <v>153</v>
      </c>
      <c r="R562" s="27" t="s">
        <v>154</v>
      </c>
      <c r="S562" s="27" t="n">
        <v>62</v>
      </c>
      <c r="T562" s="27"/>
    </row>
    <row r="563" customFormat="false" ht="15" hidden="false" customHeight="false" outlineLevel="0" collapsed="false">
      <c r="A563" s="26" t="n">
        <v>46106</v>
      </c>
      <c r="B563" s="27" t="n">
        <v>2026</v>
      </c>
      <c r="C563" s="27" t="n">
        <v>3</v>
      </c>
      <c r="D563" s="27" t="s">
        <v>82</v>
      </c>
      <c r="E563" s="27" t="s">
        <v>91</v>
      </c>
      <c r="F563" s="27" t="s">
        <v>103</v>
      </c>
      <c r="G563" s="27" t="s">
        <v>117</v>
      </c>
      <c r="H563" s="28" t="n">
        <v>6</v>
      </c>
      <c r="I563" s="29" t="n">
        <v>1450</v>
      </c>
      <c r="J563" s="29" t="n">
        <v>8700</v>
      </c>
      <c r="K563" s="29" t="n">
        <f aca="false">H563*I563</f>
        <v>8700</v>
      </c>
      <c r="L563" s="29" t="n">
        <f aca="false">IFERROR(INDEX(Cat_Productos!$B$2:$B$6,MATCH(G563,Cat_Productos!$A$2:$A$6,0)),"")</f>
        <v>780</v>
      </c>
      <c r="M563" s="29" t="n">
        <f aca="false">IF(L563="","",H563*L563)</f>
        <v>4680</v>
      </c>
      <c r="N563" s="29" t="n">
        <f aca="false">IF(M563="","",J563-M563)</f>
        <v>4020</v>
      </c>
      <c r="O563" s="30" t="n">
        <f aca="false">IFERROR(N563/J563,0)</f>
        <v>0.462068965517241</v>
      </c>
      <c r="P563" s="27"/>
      <c r="Q563" s="27" t="s">
        <v>153</v>
      </c>
      <c r="R563" s="27" t="s">
        <v>154</v>
      </c>
      <c r="S563" s="27" t="n">
        <v>147</v>
      </c>
      <c r="T563" s="27"/>
    </row>
    <row r="564" customFormat="false" ht="15" hidden="false" customHeight="false" outlineLevel="0" collapsed="false">
      <c r="A564" s="26" t="n">
        <v>46106</v>
      </c>
      <c r="B564" s="27" t="n">
        <v>2026</v>
      </c>
      <c r="C564" s="27" t="n">
        <v>3</v>
      </c>
      <c r="D564" s="27" t="s">
        <v>82</v>
      </c>
      <c r="E564" s="27" t="s">
        <v>92</v>
      </c>
      <c r="F564" s="27" t="s">
        <v>106</v>
      </c>
      <c r="G564" s="27" t="s">
        <v>114</v>
      </c>
      <c r="H564" s="28" t="n">
        <v>2</v>
      </c>
      <c r="I564" s="29" t="n">
        <v>24500</v>
      </c>
      <c r="J564" s="29" t="n">
        <v>49000</v>
      </c>
      <c r="K564" s="29" t="n">
        <f aca="false">H564*I564</f>
        <v>49000</v>
      </c>
      <c r="L564" s="29" t="n">
        <f aca="false">IFERROR(INDEX(Cat_Productos!$B$2:$B$6,MATCH(G564,Cat_Productos!$A$2:$A$6,0)),"")</f>
        <v>19200</v>
      </c>
      <c r="M564" s="29" t="n">
        <f aca="false">IF(L564="","",H564*L564)</f>
        <v>38400</v>
      </c>
      <c r="N564" s="29" t="n">
        <f aca="false">IF(M564="","",J564-M564)</f>
        <v>10600</v>
      </c>
      <c r="O564" s="30" t="n">
        <f aca="false">IFERROR(N564/J564,0)</f>
        <v>0.216326530612245</v>
      </c>
      <c r="P564" s="27"/>
      <c r="Q564" s="27" t="s">
        <v>153</v>
      </c>
      <c r="R564" s="27" t="s">
        <v>154</v>
      </c>
      <c r="S564" s="27" t="n">
        <v>190</v>
      </c>
      <c r="T564" s="27"/>
    </row>
    <row r="565" customFormat="false" ht="15" hidden="false" customHeight="false" outlineLevel="0" collapsed="false">
      <c r="A565" s="26" t="n">
        <v>46106</v>
      </c>
      <c r="B565" s="27" t="n">
        <v>2026</v>
      </c>
      <c r="C565" s="27" t="n">
        <v>3</v>
      </c>
      <c r="D565" s="27" t="s">
        <v>82</v>
      </c>
      <c r="E565" s="27" t="s">
        <v>91</v>
      </c>
      <c r="F565" s="27" t="s">
        <v>107</v>
      </c>
      <c r="G565" s="27" t="s">
        <v>117</v>
      </c>
      <c r="H565" s="28" t="n">
        <v>2</v>
      </c>
      <c r="I565" s="29" t="n">
        <v>1450</v>
      </c>
      <c r="J565" s="29" t="n">
        <v>2900</v>
      </c>
      <c r="K565" s="29" t="n">
        <f aca="false">H565*I565</f>
        <v>2900</v>
      </c>
      <c r="L565" s="29" t="n">
        <f aca="false">IFERROR(INDEX(Cat_Productos!$B$2:$B$6,MATCH(G565,Cat_Productos!$A$2:$A$6,0)),"")</f>
        <v>780</v>
      </c>
      <c r="M565" s="29" t="n">
        <f aca="false">IF(L565="","",H565*L565)</f>
        <v>1560</v>
      </c>
      <c r="N565" s="29" t="n">
        <f aca="false">IF(M565="","",J565-M565)</f>
        <v>1340</v>
      </c>
      <c r="O565" s="30" t="n">
        <f aca="false">IFERROR(N565/J565,0)</f>
        <v>0.462068965517241</v>
      </c>
      <c r="P565" s="27"/>
      <c r="Q565" s="27" t="s">
        <v>153</v>
      </c>
      <c r="R565" s="27" t="s">
        <v>154</v>
      </c>
      <c r="S565" s="27" t="n">
        <v>119</v>
      </c>
      <c r="T565" s="27"/>
    </row>
    <row r="566" customFormat="false" ht="15" hidden="false" customHeight="false" outlineLevel="0" collapsed="false">
      <c r="A566" s="26" t="n">
        <v>46108</v>
      </c>
      <c r="B566" s="27" t="n">
        <v>2026</v>
      </c>
      <c r="C566" s="27" t="n">
        <v>3</v>
      </c>
      <c r="D566" s="27" t="s">
        <v>82</v>
      </c>
      <c r="E566" s="27" t="s">
        <v>92</v>
      </c>
      <c r="F566" s="27" t="s">
        <v>105</v>
      </c>
      <c r="G566" s="27" t="s">
        <v>114</v>
      </c>
      <c r="H566" s="28" t="n">
        <v>6</v>
      </c>
      <c r="I566" s="29" t="n">
        <v>24500</v>
      </c>
      <c r="J566" s="29" t="n">
        <v>147000</v>
      </c>
      <c r="K566" s="29" t="n">
        <f aca="false">H566*I566</f>
        <v>147000</v>
      </c>
      <c r="L566" s="29" t="n">
        <f aca="false">IFERROR(INDEX(Cat_Productos!$B$2:$B$6,MATCH(G566,Cat_Productos!$A$2:$A$6,0)),"")</f>
        <v>19200</v>
      </c>
      <c r="M566" s="29" t="n">
        <f aca="false">IF(L566="","",H566*L566)</f>
        <v>115200</v>
      </c>
      <c r="N566" s="29" t="n">
        <f aca="false">IF(M566="","",J566-M566)</f>
        <v>31800</v>
      </c>
      <c r="O566" s="30" t="n">
        <f aca="false">IFERROR(N566/J566,0)</f>
        <v>0.216326530612245</v>
      </c>
      <c r="P566" s="27"/>
      <c r="Q566" s="27" t="s">
        <v>153</v>
      </c>
      <c r="R566" s="27" t="s">
        <v>154</v>
      </c>
      <c r="S566" s="27" t="n">
        <v>4</v>
      </c>
      <c r="T566" s="27"/>
    </row>
    <row r="567" customFormat="false" ht="15" hidden="false" customHeight="false" outlineLevel="0" collapsed="false">
      <c r="A567" s="26" t="n">
        <v>46108</v>
      </c>
      <c r="B567" s="27" t="n">
        <v>2026</v>
      </c>
      <c r="C567" s="27" t="n">
        <v>3</v>
      </c>
      <c r="D567" s="27" t="s">
        <v>82</v>
      </c>
      <c r="E567" s="27" t="s">
        <v>91</v>
      </c>
      <c r="F567" s="27" t="s">
        <v>107</v>
      </c>
      <c r="G567" s="27" t="s">
        <v>116</v>
      </c>
      <c r="H567" s="28" t="n">
        <v>2</v>
      </c>
      <c r="I567" s="29" t="n">
        <v>620</v>
      </c>
      <c r="J567" s="29" t="n">
        <v>1240</v>
      </c>
      <c r="K567" s="29" t="n">
        <f aca="false">H567*I567</f>
        <v>1240</v>
      </c>
      <c r="L567" s="29" t="n">
        <f aca="false">IFERROR(INDEX(Cat_Productos!$B$2:$B$6,MATCH(G567,Cat_Productos!$A$2:$A$6,0)),"")</f>
        <v>290</v>
      </c>
      <c r="M567" s="29" t="n">
        <f aca="false">IF(L567="","",H567*L567)</f>
        <v>580</v>
      </c>
      <c r="N567" s="29" t="n">
        <f aca="false">IF(M567="","",J567-M567)</f>
        <v>660</v>
      </c>
      <c r="O567" s="30" t="n">
        <f aca="false">IFERROR(N567/J567,0)</f>
        <v>0.532258064516129</v>
      </c>
      <c r="P567" s="27"/>
      <c r="Q567" s="27" t="s">
        <v>153</v>
      </c>
      <c r="R567" s="27" t="s">
        <v>154</v>
      </c>
      <c r="S567" s="27" t="n">
        <v>120</v>
      </c>
      <c r="T567" s="27"/>
    </row>
    <row r="568" customFormat="false" ht="15" hidden="false" customHeight="false" outlineLevel="0" collapsed="false">
      <c r="A568" s="26" t="n">
        <v>46108</v>
      </c>
      <c r="B568" s="27" t="n">
        <v>2026</v>
      </c>
      <c r="C568" s="27" t="n">
        <v>3</v>
      </c>
      <c r="D568" s="27" t="s">
        <v>82</v>
      </c>
      <c r="E568" s="27" t="s">
        <v>92</v>
      </c>
      <c r="F568" s="27" t="s">
        <v>105</v>
      </c>
      <c r="G568" s="27" t="s">
        <v>117</v>
      </c>
      <c r="H568" s="28" t="n">
        <v>4</v>
      </c>
      <c r="I568" s="29" t="n">
        <v>1450</v>
      </c>
      <c r="J568" s="29" t="n">
        <v>5800</v>
      </c>
      <c r="K568" s="29" t="n">
        <f aca="false">H568*I568</f>
        <v>5800</v>
      </c>
      <c r="L568" s="29" t="n">
        <f aca="false">IFERROR(INDEX(Cat_Productos!$B$2:$B$6,MATCH(G568,Cat_Productos!$A$2:$A$6,0)),"")</f>
        <v>780</v>
      </c>
      <c r="M568" s="29" t="n">
        <f aca="false">IF(L568="","",H568*L568)</f>
        <v>3120</v>
      </c>
      <c r="N568" s="29" t="n">
        <f aca="false">IF(M568="","",J568-M568)</f>
        <v>2680</v>
      </c>
      <c r="O568" s="30" t="n">
        <f aca="false">IFERROR(N568/J568,0)</f>
        <v>0.462068965517241</v>
      </c>
      <c r="P568" s="27"/>
      <c r="Q568" s="27" t="s">
        <v>153</v>
      </c>
      <c r="R568" s="27" t="s">
        <v>154</v>
      </c>
      <c r="S568" s="27" t="n">
        <v>18</v>
      </c>
      <c r="T568" s="27"/>
    </row>
    <row r="569" customFormat="false" ht="15" hidden="false" customHeight="false" outlineLevel="0" collapsed="false">
      <c r="A569" s="26" t="n">
        <v>46108</v>
      </c>
      <c r="B569" s="27" t="n">
        <v>2026</v>
      </c>
      <c r="C569" s="27" t="n">
        <v>3</v>
      </c>
      <c r="D569" s="27" t="s">
        <v>82</v>
      </c>
      <c r="E569" s="27" t="s">
        <v>92</v>
      </c>
      <c r="F569" s="27" t="s">
        <v>105</v>
      </c>
      <c r="G569" s="27" t="s">
        <v>117</v>
      </c>
      <c r="H569" s="28" t="n">
        <v>6</v>
      </c>
      <c r="I569" s="29" t="n">
        <v>1450</v>
      </c>
      <c r="J569" s="29" t="n">
        <v>8700</v>
      </c>
      <c r="K569" s="29" t="n">
        <f aca="false">H569*I569</f>
        <v>8700</v>
      </c>
      <c r="L569" s="29" t="n">
        <f aca="false">IFERROR(INDEX(Cat_Productos!$B$2:$B$6,MATCH(G569,Cat_Productos!$A$2:$A$6,0)),"")</f>
        <v>780</v>
      </c>
      <c r="M569" s="29" t="n">
        <f aca="false">IF(L569="","",H569*L569)</f>
        <v>4680</v>
      </c>
      <c r="N569" s="29" t="n">
        <f aca="false">IF(M569="","",J569-M569)</f>
        <v>4020</v>
      </c>
      <c r="O569" s="30" t="n">
        <f aca="false">IFERROR(N569/J569,0)</f>
        <v>0.462068965517241</v>
      </c>
      <c r="P569" s="27"/>
      <c r="Q569" s="27" t="s">
        <v>153</v>
      </c>
      <c r="R569" s="27" t="s">
        <v>154</v>
      </c>
      <c r="S569" s="27" t="n">
        <v>24</v>
      </c>
      <c r="T569" s="27"/>
    </row>
    <row r="570" customFormat="false" ht="15" hidden="false" customHeight="false" outlineLevel="0" collapsed="false">
      <c r="A570" s="26" t="n">
        <v>46108</v>
      </c>
      <c r="B570" s="27" t="n">
        <v>2026</v>
      </c>
      <c r="C570" s="27" t="n">
        <v>3</v>
      </c>
      <c r="D570" s="27" t="s">
        <v>82</v>
      </c>
      <c r="E570" s="27" t="s">
        <v>93</v>
      </c>
      <c r="F570" s="27" t="s">
        <v>108</v>
      </c>
      <c r="G570" s="27" t="s">
        <v>114</v>
      </c>
      <c r="H570" s="28" t="n">
        <v>2</v>
      </c>
      <c r="I570" s="29" t="n">
        <v>24500</v>
      </c>
      <c r="J570" s="29" t="n">
        <v>49000</v>
      </c>
      <c r="K570" s="29" t="n">
        <f aca="false">H570*I570</f>
        <v>49000</v>
      </c>
      <c r="L570" s="29" t="n">
        <f aca="false">IFERROR(INDEX(Cat_Productos!$B$2:$B$6,MATCH(G570,Cat_Productos!$A$2:$A$6,0)),"")</f>
        <v>19200</v>
      </c>
      <c r="M570" s="29" t="n">
        <f aca="false">IF(L570="","",H570*L570)</f>
        <v>38400</v>
      </c>
      <c r="N570" s="29" t="n">
        <f aca="false">IF(M570="","",J570-M570)</f>
        <v>10600</v>
      </c>
      <c r="O570" s="30" t="n">
        <f aca="false">IFERROR(N570/J570,0)</f>
        <v>0.216326530612245</v>
      </c>
      <c r="P570" s="27"/>
      <c r="Q570" s="27" t="s">
        <v>153</v>
      </c>
      <c r="R570" s="27" t="s">
        <v>154</v>
      </c>
      <c r="S570" s="27" t="n">
        <v>61</v>
      </c>
      <c r="T570" s="27"/>
    </row>
    <row r="571" customFormat="false" ht="15" hidden="false" customHeight="false" outlineLevel="0" collapsed="false">
      <c r="A571" s="26" t="n">
        <v>46108</v>
      </c>
      <c r="B571" s="27" t="n">
        <v>2026</v>
      </c>
      <c r="C571" s="27" t="n">
        <v>3</v>
      </c>
      <c r="D571" s="27" t="s">
        <v>82</v>
      </c>
      <c r="E571" s="27" t="s">
        <v>93</v>
      </c>
      <c r="F571" s="27" t="s">
        <v>104</v>
      </c>
      <c r="G571" s="27" t="s">
        <v>116</v>
      </c>
      <c r="H571" s="28" t="n">
        <v>4</v>
      </c>
      <c r="I571" s="29" t="n">
        <v>620</v>
      </c>
      <c r="J571" s="29" t="n">
        <v>2480</v>
      </c>
      <c r="K571" s="29" t="n">
        <f aca="false">H571*I571</f>
        <v>2480</v>
      </c>
      <c r="L571" s="29" t="n">
        <f aca="false">IFERROR(INDEX(Cat_Productos!$B$2:$B$6,MATCH(G571,Cat_Productos!$A$2:$A$6,0)),"")</f>
        <v>290</v>
      </c>
      <c r="M571" s="29" t="n">
        <f aca="false">IF(L571="","",H571*L571)</f>
        <v>1160</v>
      </c>
      <c r="N571" s="29" t="n">
        <f aca="false">IF(M571="","",J571-M571)</f>
        <v>1320</v>
      </c>
      <c r="O571" s="30" t="n">
        <f aca="false">IFERROR(N571/J571,0)</f>
        <v>0.532258064516129</v>
      </c>
      <c r="P571" s="27"/>
      <c r="Q571" s="27" t="s">
        <v>153</v>
      </c>
      <c r="R571" s="27" t="s">
        <v>154</v>
      </c>
      <c r="S571" s="27" t="n">
        <v>218</v>
      </c>
      <c r="T571" s="27"/>
    </row>
    <row r="572" customFormat="false" ht="15" hidden="false" customHeight="false" outlineLevel="0" collapsed="false">
      <c r="A572" s="26" t="n">
        <v>46108</v>
      </c>
      <c r="B572" s="27" t="n">
        <v>2026</v>
      </c>
      <c r="C572" s="27" t="n">
        <v>3</v>
      </c>
      <c r="D572" s="27" t="s">
        <v>82</v>
      </c>
      <c r="E572" s="27" t="s">
        <v>91</v>
      </c>
      <c r="F572" s="27" t="s">
        <v>107</v>
      </c>
      <c r="G572" s="27" t="s">
        <v>116</v>
      </c>
      <c r="H572" s="28" t="n">
        <v>4</v>
      </c>
      <c r="I572" s="29" t="n">
        <v>620</v>
      </c>
      <c r="J572" s="29" t="n">
        <v>2480</v>
      </c>
      <c r="K572" s="29" t="n">
        <f aca="false">H572*I572</f>
        <v>2480</v>
      </c>
      <c r="L572" s="29" t="n">
        <f aca="false">IFERROR(INDEX(Cat_Productos!$B$2:$B$6,MATCH(G572,Cat_Productos!$A$2:$A$6,0)),"")</f>
        <v>290</v>
      </c>
      <c r="M572" s="29" t="n">
        <f aca="false">IF(L572="","",H572*L572)</f>
        <v>1160</v>
      </c>
      <c r="N572" s="29" t="n">
        <f aca="false">IF(M572="","",J572-M572)</f>
        <v>1320</v>
      </c>
      <c r="O572" s="30" t="n">
        <f aca="false">IFERROR(N572/J572,0)</f>
        <v>0.532258064516129</v>
      </c>
      <c r="P572" s="27"/>
      <c r="Q572" s="27" t="s">
        <v>153</v>
      </c>
      <c r="R572" s="27" t="s">
        <v>154</v>
      </c>
      <c r="S572" s="27" t="n">
        <v>130</v>
      </c>
      <c r="T572" s="27"/>
    </row>
    <row r="573" customFormat="false" ht="15" hidden="false" customHeight="false" outlineLevel="0" collapsed="false">
      <c r="A573" s="26" t="n">
        <v>46108</v>
      </c>
      <c r="B573" s="27" t="n">
        <v>2026</v>
      </c>
      <c r="C573" s="27" t="n">
        <v>3</v>
      </c>
      <c r="D573" s="27" t="s">
        <v>82</v>
      </c>
      <c r="E573" s="27" t="s">
        <v>92</v>
      </c>
      <c r="F573" s="27" t="s">
        <v>105</v>
      </c>
      <c r="G573" s="27" t="s">
        <v>116</v>
      </c>
      <c r="H573" s="28" t="n">
        <v>4</v>
      </c>
      <c r="I573" s="29" t="n">
        <v>620</v>
      </c>
      <c r="J573" s="29" t="n">
        <v>2480</v>
      </c>
      <c r="K573" s="29" t="n">
        <f aca="false">H573*I573</f>
        <v>2480</v>
      </c>
      <c r="L573" s="29" t="n">
        <f aca="false">IFERROR(INDEX(Cat_Productos!$B$2:$B$6,MATCH(G573,Cat_Productos!$A$2:$A$6,0)),"")</f>
        <v>290</v>
      </c>
      <c r="M573" s="29" t="n">
        <f aca="false">IF(L573="","",H573*L573)</f>
        <v>1160</v>
      </c>
      <c r="N573" s="29" t="n">
        <f aca="false">IF(M573="","",J573-M573)</f>
        <v>1320</v>
      </c>
      <c r="O573" s="30" t="n">
        <f aca="false">IFERROR(N573/J573,0)</f>
        <v>0.532258064516129</v>
      </c>
      <c r="P573" s="27"/>
      <c r="Q573" s="27" t="s">
        <v>153</v>
      </c>
      <c r="R573" s="27" t="s">
        <v>154</v>
      </c>
      <c r="S573" s="27" t="n">
        <v>36</v>
      </c>
      <c r="T573" s="27"/>
    </row>
    <row r="574" customFormat="false" ht="15" hidden="false" customHeight="false" outlineLevel="0" collapsed="false">
      <c r="A574" s="26" t="n">
        <v>46108</v>
      </c>
      <c r="B574" s="27" t="n">
        <v>2026</v>
      </c>
      <c r="C574" s="27" t="n">
        <v>3</v>
      </c>
      <c r="D574" s="27" t="s">
        <v>82</v>
      </c>
      <c r="E574" s="27" t="s">
        <v>92</v>
      </c>
      <c r="F574" s="27" t="s">
        <v>105</v>
      </c>
      <c r="G574" s="27" t="s">
        <v>116</v>
      </c>
      <c r="H574" s="28" t="n">
        <v>3</v>
      </c>
      <c r="I574" s="29" t="n">
        <v>620</v>
      </c>
      <c r="J574" s="29" t="n">
        <v>1860</v>
      </c>
      <c r="K574" s="29" t="n">
        <f aca="false">H574*I574</f>
        <v>1860</v>
      </c>
      <c r="L574" s="29" t="n">
        <f aca="false">IFERROR(INDEX(Cat_Productos!$B$2:$B$6,MATCH(G574,Cat_Productos!$A$2:$A$6,0)),"")</f>
        <v>290</v>
      </c>
      <c r="M574" s="29" t="n">
        <f aca="false">IF(L574="","",H574*L574)</f>
        <v>870</v>
      </c>
      <c r="N574" s="29" t="n">
        <f aca="false">IF(M574="","",J574-M574)</f>
        <v>990</v>
      </c>
      <c r="O574" s="30" t="n">
        <f aca="false">IFERROR(N574/J574,0)</f>
        <v>0.532258064516129</v>
      </c>
      <c r="P574" s="27"/>
      <c r="Q574" s="27" t="s">
        <v>153</v>
      </c>
      <c r="R574" s="27" t="s">
        <v>154</v>
      </c>
      <c r="S574" s="27" t="n">
        <v>58</v>
      </c>
      <c r="T574" s="27"/>
    </row>
    <row r="575" customFormat="false" ht="15" hidden="false" customHeight="false" outlineLevel="0" collapsed="false">
      <c r="A575" s="26" t="n">
        <v>46108</v>
      </c>
      <c r="B575" s="27" t="n">
        <v>2026</v>
      </c>
      <c r="C575" s="27" t="n">
        <v>3</v>
      </c>
      <c r="D575" s="27" t="s">
        <v>82</v>
      </c>
      <c r="E575" s="27" t="s">
        <v>91</v>
      </c>
      <c r="F575" s="27" t="s">
        <v>107</v>
      </c>
      <c r="G575" s="27" t="s">
        <v>117</v>
      </c>
      <c r="H575" s="28" t="n">
        <v>2</v>
      </c>
      <c r="I575" s="29" t="n">
        <v>1450</v>
      </c>
      <c r="J575" s="29" t="n">
        <v>2900</v>
      </c>
      <c r="K575" s="29" t="n">
        <f aca="false">H575*I575</f>
        <v>2900</v>
      </c>
      <c r="L575" s="29" t="n">
        <f aca="false">IFERROR(INDEX(Cat_Productos!$B$2:$B$6,MATCH(G575,Cat_Productos!$A$2:$A$6,0)),"")</f>
        <v>780</v>
      </c>
      <c r="M575" s="29" t="n">
        <f aca="false">IF(L575="","",H575*L575)</f>
        <v>1560</v>
      </c>
      <c r="N575" s="29" t="n">
        <f aca="false">IF(M575="","",J575-M575)</f>
        <v>1340</v>
      </c>
      <c r="O575" s="30" t="n">
        <f aca="false">IFERROR(N575/J575,0)</f>
        <v>0.462068965517241</v>
      </c>
      <c r="P575" s="27"/>
      <c r="Q575" s="27" t="s">
        <v>153</v>
      </c>
      <c r="R575" s="27" t="s">
        <v>154</v>
      </c>
      <c r="S575" s="27" t="n">
        <v>108</v>
      </c>
      <c r="T575" s="27"/>
    </row>
    <row r="576" customFormat="false" ht="15" hidden="false" customHeight="false" outlineLevel="0" collapsed="false">
      <c r="A576" s="26" t="n">
        <v>46108</v>
      </c>
      <c r="B576" s="27" t="n">
        <v>2026</v>
      </c>
      <c r="C576" s="27" t="n">
        <v>3</v>
      </c>
      <c r="D576" s="27" t="s">
        <v>82</v>
      </c>
      <c r="E576" s="27" t="s">
        <v>93</v>
      </c>
      <c r="F576" s="27" t="s">
        <v>108</v>
      </c>
      <c r="G576" s="27" t="s">
        <v>116</v>
      </c>
      <c r="H576" s="28" t="n">
        <v>4</v>
      </c>
      <c r="I576" s="29" t="n">
        <v>620</v>
      </c>
      <c r="J576" s="29" t="n">
        <v>2480</v>
      </c>
      <c r="K576" s="29" t="n">
        <f aca="false">H576*I576</f>
        <v>2480</v>
      </c>
      <c r="L576" s="29" t="n">
        <f aca="false">IFERROR(INDEX(Cat_Productos!$B$2:$B$6,MATCH(G576,Cat_Productos!$A$2:$A$6,0)),"")</f>
        <v>290</v>
      </c>
      <c r="M576" s="29" t="n">
        <f aca="false">IF(L576="","",H576*L576)</f>
        <v>1160</v>
      </c>
      <c r="N576" s="29" t="n">
        <f aca="false">IF(M576="","",J576-M576)</f>
        <v>1320</v>
      </c>
      <c r="O576" s="30" t="n">
        <f aca="false">IFERROR(N576/J576,0)</f>
        <v>0.532258064516129</v>
      </c>
      <c r="P576" s="27"/>
      <c r="Q576" s="27" t="s">
        <v>153</v>
      </c>
      <c r="R576" s="27" t="s">
        <v>154</v>
      </c>
      <c r="S576" s="27" t="n">
        <v>93</v>
      </c>
      <c r="T576" s="27"/>
    </row>
    <row r="577" customFormat="false" ht="15" hidden="false" customHeight="false" outlineLevel="0" collapsed="false">
      <c r="A577" s="26" t="n">
        <v>46108</v>
      </c>
      <c r="B577" s="27" t="n">
        <v>2026</v>
      </c>
      <c r="C577" s="27" t="n">
        <v>3</v>
      </c>
      <c r="D577" s="27" t="s">
        <v>82</v>
      </c>
      <c r="E577" s="27" t="s">
        <v>92</v>
      </c>
      <c r="F577" s="27" t="s">
        <v>105</v>
      </c>
      <c r="G577" s="27" t="s">
        <v>116</v>
      </c>
      <c r="H577" s="28" t="n">
        <v>2</v>
      </c>
      <c r="I577" s="29" t="n">
        <v>620</v>
      </c>
      <c r="J577" s="29" t="n">
        <v>1240</v>
      </c>
      <c r="K577" s="29" t="n">
        <f aca="false">H577*I577</f>
        <v>1240</v>
      </c>
      <c r="L577" s="29" t="n">
        <f aca="false">IFERROR(INDEX(Cat_Productos!$B$2:$B$6,MATCH(G577,Cat_Productos!$A$2:$A$6,0)),"")</f>
        <v>290</v>
      </c>
      <c r="M577" s="29" t="n">
        <f aca="false">IF(L577="","",H577*L577)</f>
        <v>580</v>
      </c>
      <c r="N577" s="29" t="n">
        <f aca="false">IF(M577="","",J577-M577)</f>
        <v>660</v>
      </c>
      <c r="O577" s="30" t="n">
        <f aca="false">IFERROR(N577/J577,0)</f>
        <v>0.532258064516129</v>
      </c>
      <c r="P577" s="27"/>
      <c r="Q577" s="27" t="s">
        <v>153</v>
      </c>
      <c r="R577" s="27" t="s">
        <v>154</v>
      </c>
      <c r="S577" s="27" t="n">
        <v>46</v>
      </c>
      <c r="T577" s="27"/>
    </row>
    <row r="578" customFormat="false" ht="15" hidden="false" customHeight="false" outlineLevel="0" collapsed="false">
      <c r="A578" s="26" t="n">
        <v>46108</v>
      </c>
      <c r="B578" s="27" t="n">
        <v>2026</v>
      </c>
      <c r="C578" s="27" t="n">
        <v>3</v>
      </c>
      <c r="D578" s="27" t="s">
        <v>82</v>
      </c>
      <c r="E578" s="27" t="s">
        <v>91</v>
      </c>
      <c r="F578" s="27" t="s">
        <v>103</v>
      </c>
      <c r="G578" s="27" t="s">
        <v>116</v>
      </c>
      <c r="H578" s="28" t="n">
        <v>4</v>
      </c>
      <c r="I578" s="29" t="n">
        <v>620</v>
      </c>
      <c r="J578" s="29" t="n">
        <v>2480</v>
      </c>
      <c r="K578" s="29" t="n">
        <f aca="false">H578*I578</f>
        <v>2480</v>
      </c>
      <c r="L578" s="29" t="n">
        <f aca="false">IFERROR(INDEX(Cat_Productos!$B$2:$B$6,MATCH(G578,Cat_Productos!$A$2:$A$6,0)),"")</f>
        <v>290</v>
      </c>
      <c r="M578" s="29" t="n">
        <f aca="false">IF(L578="","",H578*L578)</f>
        <v>1160</v>
      </c>
      <c r="N578" s="29" t="n">
        <f aca="false">IF(M578="","",J578-M578)</f>
        <v>1320</v>
      </c>
      <c r="O578" s="30" t="n">
        <f aca="false">IFERROR(N578/J578,0)</f>
        <v>0.532258064516129</v>
      </c>
      <c r="P578" s="27"/>
      <c r="Q578" s="27" t="s">
        <v>153</v>
      </c>
      <c r="R578" s="27" t="s">
        <v>154</v>
      </c>
      <c r="S578" s="27" t="n">
        <v>188</v>
      </c>
      <c r="T578" s="27"/>
    </row>
    <row r="579" customFormat="false" ht="15" hidden="false" customHeight="false" outlineLevel="0" collapsed="false">
      <c r="A579" s="26" t="n">
        <v>46108</v>
      </c>
      <c r="B579" s="27" t="n">
        <v>2026</v>
      </c>
      <c r="C579" s="27" t="n">
        <v>3</v>
      </c>
      <c r="D579" s="27" t="s">
        <v>82</v>
      </c>
      <c r="E579" s="27" t="s">
        <v>93</v>
      </c>
      <c r="F579" s="27" t="s">
        <v>108</v>
      </c>
      <c r="G579" s="27" t="s">
        <v>117</v>
      </c>
      <c r="H579" s="28" t="n">
        <v>6</v>
      </c>
      <c r="I579" s="29" t="n">
        <v>1450</v>
      </c>
      <c r="J579" s="29" t="n">
        <v>8700</v>
      </c>
      <c r="K579" s="29" t="n">
        <f aca="false">H579*I579</f>
        <v>8700</v>
      </c>
      <c r="L579" s="29" t="n">
        <f aca="false">IFERROR(INDEX(Cat_Productos!$B$2:$B$6,MATCH(G579,Cat_Productos!$A$2:$A$6,0)),"")</f>
        <v>780</v>
      </c>
      <c r="M579" s="29" t="n">
        <f aca="false">IF(L579="","",H579*L579)</f>
        <v>4680</v>
      </c>
      <c r="N579" s="29" t="n">
        <f aca="false">IF(M579="","",J579-M579)</f>
        <v>4020</v>
      </c>
      <c r="O579" s="30" t="n">
        <f aca="false">IFERROR(N579/J579,0)</f>
        <v>0.462068965517241</v>
      </c>
      <c r="P579" s="27"/>
      <c r="Q579" s="27" t="s">
        <v>153</v>
      </c>
      <c r="R579" s="27" t="s">
        <v>154</v>
      </c>
      <c r="S579" s="27" t="n">
        <v>65</v>
      </c>
      <c r="T579" s="27"/>
    </row>
    <row r="580" customFormat="false" ht="15" hidden="false" customHeight="false" outlineLevel="0" collapsed="false">
      <c r="A580" s="26" t="n">
        <v>46108</v>
      </c>
      <c r="B580" s="27" t="n">
        <v>2026</v>
      </c>
      <c r="C580" s="27" t="n">
        <v>3</v>
      </c>
      <c r="D580" s="27" t="s">
        <v>82</v>
      </c>
      <c r="E580" s="27" t="s">
        <v>91</v>
      </c>
      <c r="F580" s="27" t="s">
        <v>103</v>
      </c>
      <c r="G580" s="27" t="s">
        <v>116</v>
      </c>
      <c r="H580" s="28" t="n">
        <v>2</v>
      </c>
      <c r="I580" s="29" t="n">
        <v>620</v>
      </c>
      <c r="J580" s="29" t="n">
        <v>1240</v>
      </c>
      <c r="K580" s="29" t="n">
        <f aca="false">H580*I580</f>
        <v>1240</v>
      </c>
      <c r="L580" s="29" t="n">
        <f aca="false">IFERROR(INDEX(Cat_Productos!$B$2:$B$6,MATCH(G580,Cat_Productos!$A$2:$A$6,0)),"")</f>
        <v>290</v>
      </c>
      <c r="M580" s="29" t="n">
        <f aca="false">IF(L580="","",H580*L580)</f>
        <v>580</v>
      </c>
      <c r="N580" s="29" t="n">
        <f aca="false">IF(M580="","",J580-M580)</f>
        <v>660</v>
      </c>
      <c r="O580" s="30" t="n">
        <f aca="false">IFERROR(N580/J580,0)</f>
        <v>0.532258064516129</v>
      </c>
      <c r="P580" s="27"/>
      <c r="Q580" s="27" t="s">
        <v>153</v>
      </c>
      <c r="R580" s="27" t="s">
        <v>154</v>
      </c>
      <c r="S580" s="27" t="n">
        <v>174</v>
      </c>
      <c r="T580" s="27"/>
    </row>
    <row r="581" customFormat="false" ht="15" hidden="false" customHeight="false" outlineLevel="0" collapsed="false">
      <c r="A581" s="26" t="n">
        <v>46113</v>
      </c>
      <c r="B581" s="27" t="n">
        <v>2026</v>
      </c>
      <c r="C581" s="27" t="n">
        <v>4</v>
      </c>
      <c r="D581" s="27" t="s">
        <v>83</v>
      </c>
      <c r="E581" s="27" t="s">
        <v>92</v>
      </c>
      <c r="F581" s="27" t="s">
        <v>106</v>
      </c>
      <c r="G581" s="27" t="s">
        <v>117</v>
      </c>
      <c r="H581" s="28" t="n">
        <v>2</v>
      </c>
      <c r="I581" s="29" t="n">
        <v>1450</v>
      </c>
      <c r="J581" s="29" t="n">
        <v>2900</v>
      </c>
      <c r="K581" s="29" t="n">
        <f aca="false">H581*I581</f>
        <v>2900</v>
      </c>
      <c r="L581" s="29" t="n">
        <f aca="false">IFERROR(INDEX(Cat_Productos!$B$2:$B$6,MATCH(G581,Cat_Productos!$A$2:$A$6,0)),"")</f>
        <v>780</v>
      </c>
      <c r="M581" s="29" t="n">
        <f aca="false">IF(L581="","",H581*L581)</f>
        <v>1560</v>
      </c>
      <c r="N581" s="29" t="n">
        <f aca="false">IF(M581="","",J581-M581)</f>
        <v>1340</v>
      </c>
      <c r="O581" s="30" t="n">
        <f aca="false">IFERROR(N581/J581,0)</f>
        <v>0.462068965517241</v>
      </c>
      <c r="P581" s="27"/>
      <c r="Q581" s="27" t="s">
        <v>156</v>
      </c>
      <c r="R581" s="27" t="s">
        <v>157</v>
      </c>
      <c r="S581" s="27" t="n">
        <v>40</v>
      </c>
      <c r="T581" s="27"/>
    </row>
    <row r="582" customFormat="false" ht="15" hidden="false" customHeight="false" outlineLevel="0" collapsed="false">
      <c r="A582" s="26" t="n">
        <v>46113</v>
      </c>
      <c r="B582" s="27" t="n">
        <v>2026</v>
      </c>
      <c r="C582" s="27" t="n">
        <v>4</v>
      </c>
      <c r="D582" s="27" t="s">
        <v>83</v>
      </c>
      <c r="E582" s="27" t="s">
        <v>92</v>
      </c>
      <c r="F582" s="27" t="s">
        <v>106</v>
      </c>
      <c r="G582" s="27" t="s">
        <v>117</v>
      </c>
      <c r="H582" s="28" t="n">
        <v>2</v>
      </c>
      <c r="I582" s="29" t="n">
        <v>1450</v>
      </c>
      <c r="J582" s="29" t="n">
        <v>2900</v>
      </c>
      <c r="K582" s="29" t="n">
        <f aca="false">H582*I582</f>
        <v>2900</v>
      </c>
      <c r="L582" s="29" t="n">
        <f aca="false">IFERROR(INDEX(Cat_Productos!$B$2:$B$6,MATCH(G582,Cat_Productos!$A$2:$A$6,0)),"")</f>
        <v>780</v>
      </c>
      <c r="M582" s="29" t="n">
        <f aca="false">IF(L582="","",H582*L582)</f>
        <v>1560</v>
      </c>
      <c r="N582" s="29" t="n">
        <f aca="false">IF(M582="","",J582-M582)</f>
        <v>1340</v>
      </c>
      <c r="O582" s="30" t="n">
        <f aca="false">IFERROR(N582/J582,0)</f>
        <v>0.462068965517241</v>
      </c>
      <c r="P582" s="27"/>
      <c r="Q582" s="27" t="s">
        <v>156</v>
      </c>
      <c r="R582" s="27" t="s">
        <v>157</v>
      </c>
      <c r="S582" s="27" t="n">
        <v>42</v>
      </c>
      <c r="T582" s="27"/>
    </row>
    <row r="583" customFormat="false" ht="15" hidden="false" customHeight="false" outlineLevel="0" collapsed="false">
      <c r="A583" s="26" t="n">
        <v>46113</v>
      </c>
      <c r="B583" s="27" t="n">
        <v>2026</v>
      </c>
      <c r="C583" s="27" t="n">
        <v>4</v>
      </c>
      <c r="D583" s="27" t="s">
        <v>83</v>
      </c>
      <c r="E583" s="27" t="s">
        <v>92</v>
      </c>
      <c r="F583" s="27" t="s">
        <v>106</v>
      </c>
      <c r="G583" s="27" t="s">
        <v>116</v>
      </c>
      <c r="H583" s="28" t="n">
        <v>2</v>
      </c>
      <c r="I583" s="29" t="n">
        <v>620</v>
      </c>
      <c r="J583" s="29" t="n">
        <v>1240</v>
      </c>
      <c r="K583" s="29" t="n">
        <f aca="false">H583*I583</f>
        <v>1240</v>
      </c>
      <c r="L583" s="29" t="n">
        <f aca="false">IFERROR(INDEX(Cat_Productos!$B$2:$B$6,MATCH(G583,Cat_Productos!$A$2:$A$6,0)),"")</f>
        <v>290</v>
      </c>
      <c r="M583" s="29" t="n">
        <f aca="false">IF(L583="","",H583*L583)</f>
        <v>580</v>
      </c>
      <c r="N583" s="29" t="n">
        <f aca="false">IF(M583="","",J583-M583)</f>
        <v>660</v>
      </c>
      <c r="O583" s="30" t="n">
        <f aca="false">IFERROR(N583/J583,0)</f>
        <v>0.532258064516129</v>
      </c>
      <c r="P583" s="27"/>
      <c r="Q583" s="27" t="s">
        <v>156</v>
      </c>
      <c r="R583" s="27" t="s">
        <v>157</v>
      </c>
      <c r="S583" s="27" t="n">
        <v>54</v>
      </c>
      <c r="T583" s="27"/>
    </row>
    <row r="584" customFormat="false" ht="15" hidden="false" customHeight="false" outlineLevel="0" collapsed="false">
      <c r="A584" s="26" t="n">
        <v>46113</v>
      </c>
      <c r="B584" s="27" t="n">
        <v>2026</v>
      </c>
      <c r="C584" s="27" t="n">
        <v>4</v>
      </c>
      <c r="D584" s="27" t="s">
        <v>83</v>
      </c>
      <c r="E584" s="27" t="s">
        <v>91</v>
      </c>
      <c r="F584" s="27" t="s">
        <v>103</v>
      </c>
      <c r="G584" s="27" t="s">
        <v>116</v>
      </c>
      <c r="H584" s="28" t="n">
        <v>6</v>
      </c>
      <c r="I584" s="29" t="n">
        <v>620</v>
      </c>
      <c r="J584" s="29" t="n">
        <v>3720</v>
      </c>
      <c r="K584" s="29" t="n">
        <f aca="false">H584*I584</f>
        <v>3720</v>
      </c>
      <c r="L584" s="29" t="n">
        <f aca="false">IFERROR(INDEX(Cat_Productos!$B$2:$B$6,MATCH(G584,Cat_Productos!$A$2:$A$6,0)),"")</f>
        <v>290</v>
      </c>
      <c r="M584" s="29" t="n">
        <f aca="false">IF(L584="","",H584*L584)</f>
        <v>1740</v>
      </c>
      <c r="N584" s="29" t="n">
        <f aca="false">IF(M584="","",J584-M584)</f>
        <v>1980</v>
      </c>
      <c r="O584" s="30" t="n">
        <f aca="false">IFERROR(N584/J584,0)</f>
        <v>0.532258064516129</v>
      </c>
      <c r="P584" s="27"/>
      <c r="Q584" s="27" t="s">
        <v>156</v>
      </c>
      <c r="R584" s="27" t="s">
        <v>91</v>
      </c>
      <c r="S584" s="27" t="n">
        <v>84</v>
      </c>
      <c r="T584" s="27"/>
    </row>
    <row r="585" customFormat="false" ht="15" hidden="false" customHeight="false" outlineLevel="0" collapsed="false">
      <c r="A585" s="26" t="n">
        <v>46113</v>
      </c>
      <c r="B585" s="27" t="n">
        <v>2026</v>
      </c>
      <c r="C585" s="27" t="n">
        <v>4</v>
      </c>
      <c r="D585" s="27" t="s">
        <v>83</v>
      </c>
      <c r="E585" s="27" t="s">
        <v>91</v>
      </c>
      <c r="F585" s="27" t="s">
        <v>103</v>
      </c>
      <c r="G585" s="27" t="s">
        <v>117</v>
      </c>
      <c r="H585" s="28" t="n">
        <v>6</v>
      </c>
      <c r="I585" s="29" t="n">
        <v>1450</v>
      </c>
      <c r="J585" s="29" t="n">
        <v>8700</v>
      </c>
      <c r="K585" s="29" t="n">
        <f aca="false">H585*I585</f>
        <v>8700</v>
      </c>
      <c r="L585" s="29" t="n">
        <f aca="false">IFERROR(INDEX(Cat_Productos!$B$2:$B$6,MATCH(G585,Cat_Productos!$A$2:$A$6,0)),"")</f>
        <v>780</v>
      </c>
      <c r="M585" s="29" t="n">
        <f aca="false">IF(L585="","",H585*L585)</f>
        <v>4680</v>
      </c>
      <c r="N585" s="29" t="n">
        <f aca="false">IF(M585="","",J585-M585)</f>
        <v>4020</v>
      </c>
      <c r="O585" s="30" t="n">
        <f aca="false">IFERROR(N585/J585,0)</f>
        <v>0.462068965517241</v>
      </c>
      <c r="P585" s="27"/>
      <c r="Q585" s="27" t="s">
        <v>156</v>
      </c>
      <c r="R585" s="27" t="s">
        <v>91</v>
      </c>
      <c r="S585" s="27" t="n">
        <v>62</v>
      </c>
      <c r="T585" s="27"/>
    </row>
    <row r="586" customFormat="false" ht="15" hidden="false" customHeight="false" outlineLevel="0" collapsed="false">
      <c r="A586" s="26" t="n">
        <v>46113</v>
      </c>
      <c r="B586" s="27" t="n">
        <v>2026</v>
      </c>
      <c r="C586" s="27" t="n">
        <v>4</v>
      </c>
      <c r="D586" s="27" t="s">
        <v>83</v>
      </c>
      <c r="E586" s="27" t="s">
        <v>91</v>
      </c>
      <c r="F586" s="27" t="s">
        <v>107</v>
      </c>
      <c r="G586" s="27" t="s">
        <v>116</v>
      </c>
      <c r="H586" s="28" t="n">
        <v>6</v>
      </c>
      <c r="I586" s="29" t="n">
        <v>620</v>
      </c>
      <c r="J586" s="29" t="n">
        <v>3720</v>
      </c>
      <c r="K586" s="29" t="n">
        <f aca="false">H586*I586</f>
        <v>3720</v>
      </c>
      <c r="L586" s="29" t="n">
        <f aca="false">IFERROR(INDEX(Cat_Productos!$B$2:$B$6,MATCH(G586,Cat_Productos!$A$2:$A$6,0)),"")</f>
        <v>290</v>
      </c>
      <c r="M586" s="29" t="n">
        <f aca="false">IF(L586="","",H586*L586)</f>
        <v>1740</v>
      </c>
      <c r="N586" s="29" t="n">
        <f aca="false">IF(M586="","",J586-M586)</f>
        <v>1980</v>
      </c>
      <c r="O586" s="30" t="n">
        <f aca="false">IFERROR(N586/J586,0)</f>
        <v>0.532258064516129</v>
      </c>
      <c r="P586" s="27"/>
      <c r="Q586" s="27" t="s">
        <v>156</v>
      </c>
      <c r="R586" s="27" t="s">
        <v>91</v>
      </c>
      <c r="S586" s="27" t="n">
        <v>33</v>
      </c>
      <c r="T586" s="27"/>
    </row>
    <row r="587" customFormat="false" ht="15" hidden="false" customHeight="false" outlineLevel="0" collapsed="false">
      <c r="A587" s="26" t="n">
        <v>46113</v>
      </c>
      <c r="B587" s="27" t="n">
        <v>2026</v>
      </c>
      <c r="C587" s="27" t="n">
        <v>4</v>
      </c>
      <c r="D587" s="27" t="s">
        <v>83</v>
      </c>
      <c r="E587" s="27" t="s">
        <v>91</v>
      </c>
      <c r="F587" s="27" t="s">
        <v>103</v>
      </c>
      <c r="G587" s="27" t="s">
        <v>114</v>
      </c>
      <c r="H587" s="28" t="n">
        <v>1</v>
      </c>
      <c r="I587" s="29" t="n">
        <v>24500</v>
      </c>
      <c r="J587" s="29" t="n">
        <v>24500</v>
      </c>
      <c r="K587" s="29" t="n">
        <f aca="false">H587*I587</f>
        <v>24500</v>
      </c>
      <c r="L587" s="29" t="n">
        <f aca="false">IFERROR(INDEX(Cat_Productos!$B$2:$B$6,MATCH(G587,Cat_Productos!$A$2:$A$6,0)),"")</f>
        <v>19200</v>
      </c>
      <c r="M587" s="29" t="n">
        <f aca="false">IF(L587="","",H587*L587)</f>
        <v>19200</v>
      </c>
      <c r="N587" s="29" t="n">
        <f aca="false">IF(M587="","",J587-M587)</f>
        <v>5300</v>
      </c>
      <c r="O587" s="30" t="n">
        <f aca="false">IFERROR(N587/J587,0)</f>
        <v>0.216326530612245</v>
      </c>
      <c r="P587" s="27"/>
      <c r="Q587" s="27" t="s">
        <v>156</v>
      </c>
      <c r="R587" s="27" t="s">
        <v>91</v>
      </c>
      <c r="S587" s="27" t="n">
        <v>46</v>
      </c>
      <c r="T587" s="27"/>
    </row>
    <row r="588" customFormat="false" ht="15" hidden="false" customHeight="false" outlineLevel="0" collapsed="false">
      <c r="A588" s="26" t="n">
        <v>46113</v>
      </c>
      <c r="B588" s="27" t="n">
        <v>2026</v>
      </c>
      <c r="C588" s="27" t="n">
        <v>4</v>
      </c>
      <c r="D588" s="27" t="s">
        <v>83</v>
      </c>
      <c r="E588" s="27" t="s">
        <v>93</v>
      </c>
      <c r="F588" s="27" t="s">
        <v>104</v>
      </c>
      <c r="G588" s="27" t="s">
        <v>116</v>
      </c>
      <c r="H588" s="28" t="n">
        <v>4</v>
      </c>
      <c r="I588" s="29" t="n">
        <v>620</v>
      </c>
      <c r="J588" s="29" t="n">
        <v>2480</v>
      </c>
      <c r="K588" s="29" t="n">
        <f aca="false">H588*I588</f>
        <v>2480</v>
      </c>
      <c r="L588" s="29" t="n">
        <f aca="false">IFERROR(INDEX(Cat_Productos!$B$2:$B$6,MATCH(G588,Cat_Productos!$A$2:$A$6,0)),"")</f>
        <v>290</v>
      </c>
      <c r="M588" s="29" t="n">
        <f aca="false">IF(L588="","",H588*L588)</f>
        <v>1160</v>
      </c>
      <c r="N588" s="29" t="n">
        <f aca="false">IF(M588="","",J588-M588)</f>
        <v>1320</v>
      </c>
      <c r="O588" s="30" t="n">
        <f aca="false">IFERROR(N588/J588,0)</f>
        <v>0.532258064516129</v>
      </c>
      <c r="P588" s="27"/>
      <c r="Q588" s="27" t="s">
        <v>156</v>
      </c>
      <c r="R588" s="27" t="s">
        <v>158</v>
      </c>
      <c r="S588" s="27" t="n">
        <v>43</v>
      </c>
      <c r="T588" s="27"/>
    </row>
    <row r="589" customFormat="false" ht="15" hidden="false" customHeight="false" outlineLevel="0" collapsed="false">
      <c r="A589" s="26" t="n">
        <v>46113</v>
      </c>
      <c r="B589" s="27" t="n">
        <v>2026</v>
      </c>
      <c r="C589" s="27" t="n">
        <v>4</v>
      </c>
      <c r="D589" s="27" t="s">
        <v>83</v>
      </c>
      <c r="E589" s="27" t="s">
        <v>91</v>
      </c>
      <c r="F589" s="27" t="s">
        <v>103</v>
      </c>
      <c r="G589" s="27" t="s">
        <v>114</v>
      </c>
      <c r="H589" s="28" t="n">
        <v>6</v>
      </c>
      <c r="I589" s="29" t="n">
        <v>24500</v>
      </c>
      <c r="J589" s="29" t="n">
        <v>147000</v>
      </c>
      <c r="K589" s="29" t="n">
        <f aca="false">H589*I589</f>
        <v>147000</v>
      </c>
      <c r="L589" s="29" t="n">
        <f aca="false">IFERROR(INDEX(Cat_Productos!$B$2:$B$6,MATCH(G589,Cat_Productos!$A$2:$A$6,0)),"")</f>
        <v>19200</v>
      </c>
      <c r="M589" s="29" t="n">
        <f aca="false">IF(L589="","",H589*L589)</f>
        <v>115200</v>
      </c>
      <c r="N589" s="29" t="n">
        <f aca="false">IF(M589="","",J589-M589)</f>
        <v>31800</v>
      </c>
      <c r="O589" s="30" t="n">
        <f aca="false">IFERROR(N589/J589,0)</f>
        <v>0.216326530612245</v>
      </c>
      <c r="P589" s="27"/>
      <c r="Q589" s="27" t="s">
        <v>156</v>
      </c>
      <c r="R589" s="27" t="s">
        <v>91</v>
      </c>
      <c r="S589" s="27" t="n">
        <v>44</v>
      </c>
      <c r="T589" s="27"/>
    </row>
    <row r="590" customFormat="false" ht="15" hidden="false" customHeight="false" outlineLevel="0" collapsed="false">
      <c r="A590" s="26" t="n">
        <v>46113</v>
      </c>
      <c r="B590" s="27" t="n">
        <v>2026</v>
      </c>
      <c r="C590" s="27" t="n">
        <v>4</v>
      </c>
      <c r="D590" s="27" t="s">
        <v>83</v>
      </c>
      <c r="E590" s="27" t="s">
        <v>91</v>
      </c>
      <c r="F590" s="27" t="s">
        <v>107</v>
      </c>
      <c r="G590" s="27" t="s">
        <v>114</v>
      </c>
      <c r="H590" s="28" t="n">
        <v>2</v>
      </c>
      <c r="I590" s="29" t="n">
        <v>24500</v>
      </c>
      <c r="J590" s="29" t="n">
        <v>49000</v>
      </c>
      <c r="K590" s="29" t="n">
        <f aca="false">H590*I590</f>
        <v>49000</v>
      </c>
      <c r="L590" s="29" t="n">
        <f aca="false">IFERROR(INDEX(Cat_Productos!$B$2:$B$6,MATCH(G590,Cat_Productos!$A$2:$A$6,0)),"")</f>
        <v>19200</v>
      </c>
      <c r="M590" s="29" t="n">
        <f aca="false">IF(L590="","",H590*L590)</f>
        <v>38400</v>
      </c>
      <c r="N590" s="29" t="n">
        <f aca="false">IF(M590="","",J590-M590)</f>
        <v>10600</v>
      </c>
      <c r="O590" s="30" t="n">
        <f aca="false">IFERROR(N590/J590,0)</f>
        <v>0.216326530612245</v>
      </c>
      <c r="P590" s="27"/>
      <c r="Q590" s="27" t="s">
        <v>156</v>
      </c>
      <c r="R590" s="27" t="s">
        <v>91</v>
      </c>
      <c r="S590" s="27" t="n">
        <v>7</v>
      </c>
      <c r="T590" s="27"/>
    </row>
    <row r="591" customFormat="false" ht="15" hidden="false" customHeight="false" outlineLevel="0" collapsed="false">
      <c r="A591" s="26" t="n">
        <v>46114</v>
      </c>
      <c r="B591" s="27" t="n">
        <v>2026</v>
      </c>
      <c r="C591" s="27" t="n">
        <v>4</v>
      </c>
      <c r="D591" s="27" t="s">
        <v>83</v>
      </c>
      <c r="E591" s="27" t="s">
        <v>92</v>
      </c>
      <c r="F591" s="27" t="s">
        <v>105</v>
      </c>
      <c r="G591" s="27" t="s">
        <v>114</v>
      </c>
      <c r="H591" s="28" t="n">
        <v>1</v>
      </c>
      <c r="I591" s="29" t="n">
        <v>24500</v>
      </c>
      <c r="J591" s="29" t="n">
        <v>24500</v>
      </c>
      <c r="K591" s="29" t="n">
        <f aca="false">H591*I591</f>
        <v>24500</v>
      </c>
      <c r="L591" s="29" t="n">
        <f aca="false">IFERROR(INDEX(Cat_Productos!$B$2:$B$6,MATCH(G591,Cat_Productos!$A$2:$A$6,0)),"")</f>
        <v>19200</v>
      </c>
      <c r="M591" s="29" t="n">
        <f aca="false">IF(L591="","",H591*L591)</f>
        <v>19200</v>
      </c>
      <c r="N591" s="29" t="n">
        <f aca="false">IF(M591="","",J591-M591)</f>
        <v>5300</v>
      </c>
      <c r="O591" s="30" t="n">
        <f aca="false">IFERROR(N591/J591,0)</f>
        <v>0.216326530612245</v>
      </c>
      <c r="P591" s="27"/>
      <c r="Q591" s="27" t="s">
        <v>156</v>
      </c>
      <c r="R591" s="27" t="s">
        <v>157</v>
      </c>
      <c r="S591" s="27" t="n">
        <v>5</v>
      </c>
      <c r="T591" s="27"/>
    </row>
    <row r="592" customFormat="false" ht="15" hidden="false" customHeight="false" outlineLevel="0" collapsed="false">
      <c r="A592" s="26" t="n">
        <v>46114</v>
      </c>
      <c r="B592" s="27" t="n">
        <v>2026</v>
      </c>
      <c r="C592" s="27" t="n">
        <v>4</v>
      </c>
      <c r="D592" s="27" t="s">
        <v>83</v>
      </c>
      <c r="E592" s="27" t="s">
        <v>92</v>
      </c>
      <c r="F592" s="27" t="s">
        <v>105</v>
      </c>
      <c r="G592" s="27" t="s">
        <v>114</v>
      </c>
      <c r="H592" s="28" t="n">
        <v>3</v>
      </c>
      <c r="I592" s="29" t="n">
        <v>24500</v>
      </c>
      <c r="J592" s="29" t="n">
        <v>73500</v>
      </c>
      <c r="K592" s="29" t="n">
        <f aca="false">H592*I592</f>
        <v>73500</v>
      </c>
      <c r="L592" s="29" t="n">
        <f aca="false">IFERROR(INDEX(Cat_Productos!$B$2:$B$6,MATCH(G592,Cat_Productos!$A$2:$A$6,0)),"")</f>
        <v>19200</v>
      </c>
      <c r="M592" s="29" t="n">
        <f aca="false">IF(L592="","",H592*L592)</f>
        <v>57600</v>
      </c>
      <c r="N592" s="29" t="n">
        <f aca="false">IF(M592="","",J592-M592)</f>
        <v>15900</v>
      </c>
      <c r="O592" s="30" t="n">
        <f aca="false">IFERROR(N592/J592,0)</f>
        <v>0.216326530612245</v>
      </c>
      <c r="P592" s="27"/>
      <c r="Q592" s="27" t="s">
        <v>156</v>
      </c>
      <c r="R592" s="27" t="s">
        <v>157</v>
      </c>
      <c r="S592" s="27" t="n">
        <v>11</v>
      </c>
      <c r="T592" s="27"/>
    </row>
    <row r="593" customFormat="false" ht="15" hidden="false" customHeight="false" outlineLevel="0" collapsed="false">
      <c r="A593" s="26" t="n">
        <v>46114</v>
      </c>
      <c r="B593" s="27" t="n">
        <v>2026</v>
      </c>
      <c r="C593" s="27" t="n">
        <v>4</v>
      </c>
      <c r="D593" s="27" t="s">
        <v>83</v>
      </c>
      <c r="E593" s="27" t="s">
        <v>92</v>
      </c>
      <c r="F593" s="27" t="s">
        <v>105</v>
      </c>
      <c r="G593" s="27" t="s">
        <v>115</v>
      </c>
      <c r="H593" s="28" t="n">
        <v>3</v>
      </c>
      <c r="I593" s="29" t="n">
        <v>6200</v>
      </c>
      <c r="J593" s="29" t="n">
        <v>18600</v>
      </c>
      <c r="K593" s="29" t="n">
        <f aca="false">H593*I593</f>
        <v>18600</v>
      </c>
      <c r="L593" s="29" t="n">
        <f aca="false">IFERROR(INDEX(Cat_Productos!$B$2:$B$6,MATCH(G593,Cat_Productos!$A$2:$A$6,0)),"")</f>
        <v>4100</v>
      </c>
      <c r="M593" s="29" t="n">
        <f aca="false">IF(L593="","",H593*L593)</f>
        <v>12300</v>
      </c>
      <c r="N593" s="29" t="n">
        <f aca="false">IF(M593="","",J593-M593)</f>
        <v>6300</v>
      </c>
      <c r="O593" s="30" t="n">
        <f aca="false">IFERROR(N593/J593,0)</f>
        <v>0.338709677419355</v>
      </c>
      <c r="P593" s="27"/>
      <c r="Q593" s="27" t="s">
        <v>156</v>
      </c>
      <c r="R593" s="27" t="s">
        <v>157</v>
      </c>
      <c r="S593" s="27" t="n">
        <v>13</v>
      </c>
      <c r="T593" s="27"/>
    </row>
    <row r="594" customFormat="false" ht="15" hidden="false" customHeight="false" outlineLevel="0" collapsed="false">
      <c r="A594" s="26" t="n">
        <v>46114</v>
      </c>
      <c r="B594" s="27" t="n">
        <v>2026</v>
      </c>
      <c r="C594" s="27" t="n">
        <v>4</v>
      </c>
      <c r="D594" s="27" t="s">
        <v>83</v>
      </c>
      <c r="E594" s="27" t="s">
        <v>92</v>
      </c>
      <c r="F594" s="27" t="s">
        <v>105</v>
      </c>
      <c r="G594" s="27" t="s">
        <v>115</v>
      </c>
      <c r="H594" s="28" t="n">
        <v>5</v>
      </c>
      <c r="I594" s="29" t="n">
        <v>6200</v>
      </c>
      <c r="J594" s="29" t="n">
        <v>31000</v>
      </c>
      <c r="K594" s="29" t="n">
        <f aca="false">H594*I594</f>
        <v>31000</v>
      </c>
      <c r="L594" s="29" t="n">
        <f aca="false">IFERROR(INDEX(Cat_Productos!$B$2:$B$6,MATCH(G594,Cat_Productos!$A$2:$A$6,0)),"")</f>
        <v>4100</v>
      </c>
      <c r="M594" s="29" t="n">
        <f aca="false">IF(L594="","",H594*L594)</f>
        <v>20500</v>
      </c>
      <c r="N594" s="29" t="n">
        <f aca="false">IF(M594="","",J594-M594)</f>
        <v>10500</v>
      </c>
      <c r="O594" s="30" t="n">
        <f aca="false">IFERROR(N594/J594,0)</f>
        <v>0.338709677419355</v>
      </c>
      <c r="P594" s="27"/>
      <c r="Q594" s="27" t="s">
        <v>156</v>
      </c>
      <c r="R594" s="27" t="s">
        <v>157</v>
      </c>
      <c r="S594" s="27" t="n">
        <v>17</v>
      </c>
      <c r="T594" s="27"/>
    </row>
    <row r="595" customFormat="false" ht="15" hidden="false" customHeight="false" outlineLevel="0" collapsed="false">
      <c r="A595" s="26" t="n">
        <v>46114</v>
      </c>
      <c r="B595" s="27" t="n">
        <v>2026</v>
      </c>
      <c r="C595" s="27" t="n">
        <v>4</v>
      </c>
      <c r="D595" s="27" t="s">
        <v>83</v>
      </c>
      <c r="E595" s="27" t="s">
        <v>93</v>
      </c>
      <c r="F595" s="27" t="s">
        <v>108</v>
      </c>
      <c r="G595" s="27" t="s">
        <v>114</v>
      </c>
      <c r="H595" s="28" t="n">
        <v>1</v>
      </c>
      <c r="I595" s="29" t="n">
        <v>24500</v>
      </c>
      <c r="J595" s="29" t="n">
        <v>24500</v>
      </c>
      <c r="K595" s="29" t="n">
        <f aca="false">H595*I595</f>
        <v>24500</v>
      </c>
      <c r="L595" s="29" t="n">
        <f aca="false">IFERROR(INDEX(Cat_Productos!$B$2:$B$6,MATCH(G595,Cat_Productos!$A$2:$A$6,0)),"")</f>
        <v>19200</v>
      </c>
      <c r="M595" s="29" t="n">
        <f aca="false">IF(L595="","",H595*L595)</f>
        <v>19200</v>
      </c>
      <c r="N595" s="29" t="n">
        <f aca="false">IF(M595="","",J595-M595)</f>
        <v>5300</v>
      </c>
      <c r="O595" s="30" t="n">
        <f aca="false">IFERROR(N595/J595,0)</f>
        <v>0.216326530612245</v>
      </c>
      <c r="P595" s="27"/>
      <c r="Q595" s="27" t="s">
        <v>156</v>
      </c>
      <c r="R595" s="27" t="s">
        <v>158</v>
      </c>
      <c r="S595" s="27" t="n">
        <v>4</v>
      </c>
      <c r="T595" s="27"/>
    </row>
    <row r="596" customFormat="false" ht="15" hidden="false" customHeight="false" outlineLevel="0" collapsed="false">
      <c r="A596" s="26" t="n">
        <v>46114</v>
      </c>
      <c r="B596" s="27" t="n">
        <v>2026</v>
      </c>
      <c r="C596" s="27" t="n">
        <v>4</v>
      </c>
      <c r="D596" s="27" t="s">
        <v>83</v>
      </c>
      <c r="E596" s="27" t="s">
        <v>92</v>
      </c>
      <c r="F596" s="27" t="s">
        <v>105</v>
      </c>
      <c r="G596" s="27" t="s">
        <v>115</v>
      </c>
      <c r="H596" s="28" t="n">
        <v>2</v>
      </c>
      <c r="I596" s="29" t="n">
        <v>6200</v>
      </c>
      <c r="J596" s="29" t="n">
        <v>12400</v>
      </c>
      <c r="K596" s="29" t="n">
        <f aca="false">H596*I596</f>
        <v>12400</v>
      </c>
      <c r="L596" s="29" t="n">
        <f aca="false">IFERROR(INDEX(Cat_Productos!$B$2:$B$6,MATCH(G596,Cat_Productos!$A$2:$A$6,0)),"")</f>
        <v>4100</v>
      </c>
      <c r="M596" s="29" t="n">
        <f aca="false">IF(L596="","",H596*L596)</f>
        <v>8200</v>
      </c>
      <c r="N596" s="29" t="n">
        <f aca="false">IF(M596="","",J596-M596)</f>
        <v>4200</v>
      </c>
      <c r="O596" s="30" t="n">
        <f aca="false">IFERROR(N596/J596,0)</f>
        <v>0.338709677419355</v>
      </c>
      <c r="P596" s="27"/>
      <c r="Q596" s="27" t="s">
        <v>156</v>
      </c>
      <c r="R596" s="27" t="s">
        <v>157</v>
      </c>
      <c r="S596" s="27" t="n">
        <v>19</v>
      </c>
      <c r="T596" s="27"/>
    </row>
    <row r="597" customFormat="false" ht="15" hidden="false" customHeight="false" outlineLevel="0" collapsed="false">
      <c r="A597" s="26" t="n">
        <v>46114</v>
      </c>
      <c r="B597" s="27" t="n">
        <v>2026</v>
      </c>
      <c r="C597" s="27" t="n">
        <v>4</v>
      </c>
      <c r="D597" s="27" t="s">
        <v>83</v>
      </c>
      <c r="E597" s="27" t="s">
        <v>93</v>
      </c>
      <c r="F597" s="27" t="s">
        <v>108</v>
      </c>
      <c r="G597" s="27" t="s">
        <v>114</v>
      </c>
      <c r="H597" s="28" t="n">
        <v>3</v>
      </c>
      <c r="I597" s="29" t="n">
        <v>24500</v>
      </c>
      <c r="J597" s="29" t="n">
        <v>73500</v>
      </c>
      <c r="K597" s="29" t="n">
        <f aca="false">H597*I597</f>
        <v>73500</v>
      </c>
      <c r="L597" s="29" t="n">
        <f aca="false">IFERROR(INDEX(Cat_Productos!$B$2:$B$6,MATCH(G597,Cat_Productos!$A$2:$A$6,0)),"")</f>
        <v>19200</v>
      </c>
      <c r="M597" s="29" t="n">
        <f aca="false">IF(L597="","",H597*L597)</f>
        <v>57600</v>
      </c>
      <c r="N597" s="29" t="n">
        <f aca="false">IF(M597="","",J597-M597)</f>
        <v>15900</v>
      </c>
      <c r="O597" s="30" t="n">
        <f aca="false">IFERROR(N597/J597,0)</f>
        <v>0.216326530612245</v>
      </c>
      <c r="P597" s="27"/>
      <c r="Q597" s="27" t="s">
        <v>156</v>
      </c>
      <c r="R597" s="27" t="s">
        <v>158</v>
      </c>
      <c r="S597" s="27" t="n">
        <v>10</v>
      </c>
      <c r="T597" s="27"/>
    </row>
    <row r="598" customFormat="false" ht="15" hidden="false" customHeight="false" outlineLevel="0" collapsed="false">
      <c r="A598" s="26" t="n">
        <v>46115</v>
      </c>
      <c r="B598" s="27" t="n">
        <v>2026</v>
      </c>
      <c r="C598" s="27" t="n">
        <v>4</v>
      </c>
      <c r="D598" s="27" t="s">
        <v>83</v>
      </c>
      <c r="E598" s="27" t="s">
        <v>92</v>
      </c>
      <c r="F598" s="27" t="s">
        <v>106</v>
      </c>
      <c r="G598" s="27" t="s">
        <v>116</v>
      </c>
      <c r="H598" s="28" t="n">
        <v>2</v>
      </c>
      <c r="I598" s="29" t="n">
        <v>620</v>
      </c>
      <c r="J598" s="29" t="n">
        <v>1240</v>
      </c>
      <c r="K598" s="29" t="n">
        <f aca="false">H598*I598</f>
        <v>1240</v>
      </c>
      <c r="L598" s="29" t="n">
        <f aca="false">IFERROR(INDEX(Cat_Productos!$B$2:$B$6,MATCH(G598,Cat_Productos!$A$2:$A$6,0)),"")</f>
        <v>290</v>
      </c>
      <c r="M598" s="29" t="n">
        <f aca="false">IF(L598="","",H598*L598)</f>
        <v>580</v>
      </c>
      <c r="N598" s="29" t="n">
        <f aca="false">IF(M598="","",J598-M598)</f>
        <v>660</v>
      </c>
      <c r="O598" s="30" t="n">
        <f aca="false">IFERROR(N598/J598,0)</f>
        <v>0.532258064516129</v>
      </c>
      <c r="P598" s="27"/>
      <c r="Q598" s="27" t="s">
        <v>156</v>
      </c>
      <c r="R598" s="27" t="s">
        <v>157</v>
      </c>
      <c r="S598" s="27" t="n">
        <v>51</v>
      </c>
      <c r="T598" s="27"/>
    </row>
    <row r="599" customFormat="false" ht="15" hidden="false" customHeight="false" outlineLevel="0" collapsed="false">
      <c r="A599" s="26" t="n">
        <v>46115</v>
      </c>
      <c r="B599" s="27" t="n">
        <v>2026</v>
      </c>
      <c r="C599" s="27" t="n">
        <v>4</v>
      </c>
      <c r="D599" s="27" t="s">
        <v>83</v>
      </c>
      <c r="E599" s="27" t="s">
        <v>91</v>
      </c>
      <c r="F599" s="27" t="s">
        <v>107</v>
      </c>
      <c r="G599" s="27" t="s">
        <v>117</v>
      </c>
      <c r="H599" s="28" t="n">
        <v>2</v>
      </c>
      <c r="I599" s="29" t="n">
        <v>1450</v>
      </c>
      <c r="J599" s="29" t="n">
        <v>2900</v>
      </c>
      <c r="K599" s="29" t="n">
        <f aca="false">H599*I599</f>
        <v>2900</v>
      </c>
      <c r="L599" s="29" t="n">
        <f aca="false">IFERROR(INDEX(Cat_Productos!$B$2:$B$6,MATCH(G599,Cat_Productos!$A$2:$A$6,0)),"")</f>
        <v>780</v>
      </c>
      <c r="M599" s="29" t="n">
        <f aca="false">IF(L599="","",H599*L599)</f>
        <v>1560</v>
      </c>
      <c r="N599" s="29" t="n">
        <f aca="false">IF(M599="","",J599-M599)</f>
        <v>1340</v>
      </c>
      <c r="O599" s="30" t="n">
        <f aca="false">IFERROR(N599/J599,0)</f>
        <v>0.462068965517241</v>
      </c>
      <c r="P599" s="27"/>
      <c r="Q599" s="27" t="s">
        <v>156</v>
      </c>
      <c r="R599" s="27" t="s">
        <v>91</v>
      </c>
      <c r="S599" s="27" t="n">
        <v>10</v>
      </c>
      <c r="T599" s="27"/>
    </row>
    <row r="600" customFormat="false" ht="15" hidden="false" customHeight="false" outlineLevel="0" collapsed="false">
      <c r="A600" s="26" t="n">
        <v>46115</v>
      </c>
      <c r="B600" s="27" t="n">
        <v>2026</v>
      </c>
      <c r="C600" s="27" t="n">
        <v>4</v>
      </c>
      <c r="D600" s="27" t="s">
        <v>83</v>
      </c>
      <c r="E600" s="27" t="s">
        <v>91</v>
      </c>
      <c r="F600" s="27" t="s">
        <v>103</v>
      </c>
      <c r="G600" s="27" t="s">
        <v>116</v>
      </c>
      <c r="H600" s="28" t="n">
        <v>4</v>
      </c>
      <c r="I600" s="29" t="n">
        <v>620</v>
      </c>
      <c r="J600" s="29" t="n">
        <v>2480</v>
      </c>
      <c r="K600" s="29" t="n">
        <f aca="false">H600*I600</f>
        <v>2480</v>
      </c>
      <c r="L600" s="29" t="n">
        <f aca="false">IFERROR(INDEX(Cat_Productos!$B$2:$B$6,MATCH(G600,Cat_Productos!$A$2:$A$6,0)),"")</f>
        <v>290</v>
      </c>
      <c r="M600" s="29" t="n">
        <f aca="false">IF(L600="","",H600*L600)</f>
        <v>1160</v>
      </c>
      <c r="N600" s="29" t="n">
        <f aca="false">IF(M600="","",J600-M600)</f>
        <v>1320</v>
      </c>
      <c r="O600" s="30" t="n">
        <f aca="false">IFERROR(N600/J600,0)</f>
        <v>0.532258064516129</v>
      </c>
      <c r="P600" s="27"/>
      <c r="Q600" s="27" t="s">
        <v>156</v>
      </c>
      <c r="R600" s="27" t="s">
        <v>91</v>
      </c>
      <c r="S600" s="27" t="n">
        <v>91</v>
      </c>
      <c r="T600" s="27"/>
    </row>
    <row r="601" customFormat="false" ht="15" hidden="false" customHeight="false" outlineLevel="0" collapsed="false">
      <c r="A601" s="26" t="n">
        <v>46115</v>
      </c>
      <c r="B601" s="27" t="n">
        <v>2026</v>
      </c>
      <c r="C601" s="27" t="n">
        <v>4</v>
      </c>
      <c r="D601" s="27" t="s">
        <v>83</v>
      </c>
      <c r="E601" s="27" t="s">
        <v>91</v>
      </c>
      <c r="F601" s="27" t="s">
        <v>103</v>
      </c>
      <c r="G601" s="27" t="s">
        <v>114</v>
      </c>
      <c r="H601" s="28" t="n">
        <v>2</v>
      </c>
      <c r="I601" s="29" t="n">
        <v>24500</v>
      </c>
      <c r="J601" s="29" t="n">
        <v>49000</v>
      </c>
      <c r="K601" s="29" t="n">
        <f aca="false">H601*I601</f>
        <v>49000</v>
      </c>
      <c r="L601" s="29" t="n">
        <f aca="false">IFERROR(INDEX(Cat_Productos!$B$2:$B$6,MATCH(G601,Cat_Productos!$A$2:$A$6,0)),"")</f>
        <v>19200</v>
      </c>
      <c r="M601" s="29" t="n">
        <f aca="false">IF(L601="","",H601*L601)</f>
        <v>38400</v>
      </c>
      <c r="N601" s="29" t="n">
        <f aca="false">IF(M601="","",J601-M601)</f>
        <v>10600</v>
      </c>
      <c r="O601" s="30" t="n">
        <f aca="false">IFERROR(N601/J601,0)</f>
        <v>0.216326530612245</v>
      </c>
      <c r="P601" s="27"/>
      <c r="Q601" s="27" t="s">
        <v>156</v>
      </c>
      <c r="R601" s="27" t="s">
        <v>91</v>
      </c>
      <c r="S601" s="27" t="n">
        <v>45</v>
      </c>
      <c r="T601" s="27"/>
    </row>
    <row r="602" customFormat="false" ht="15" hidden="false" customHeight="false" outlineLevel="0" collapsed="false">
      <c r="A602" s="26" t="n">
        <v>46115</v>
      </c>
      <c r="B602" s="27" t="n">
        <v>2026</v>
      </c>
      <c r="C602" s="27" t="n">
        <v>4</v>
      </c>
      <c r="D602" s="27" t="s">
        <v>83</v>
      </c>
      <c r="E602" s="27" t="s">
        <v>91</v>
      </c>
      <c r="F602" s="27" t="s">
        <v>103</v>
      </c>
      <c r="G602" s="27" t="s">
        <v>117</v>
      </c>
      <c r="H602" s="28" t="n">
        <v>6</v>
      </c>
      <c r="I602" s="29" t="n">
        <v>1450</v>
      </c>
      <c r="J602" s="29" t="n">
        <v>8700</v>
      </c>
      <c r="K602" s="29" t="n">
        <f aca="false">H602*I602</f>
        <v>8700</v>
      </c>
      <c r="L602" s="29" t="n">
        <f aca="false">IFERROR(INDEX(Cat_Productos!$B$2:$B$6,MATCH(G602,Cat_Productos!$A$2:$A$6,0)),"")</f>
        <v>780</v>
      </c>
      <c r="M602" s="29" t="n">
        <f aca="false">IF(L602="","",H602*L602)</f>
        <v>4680</v>
      </c>
      <c r="N602" s="29" t="n">
        <f aca="false">IF(M602="","",J602-M602)</f>
        <v>4020</v>
      </c>
      <c r="O602" s="30" t="n">
        <f aca="false">IFERROR(N602/J602,0)</f>
        <v>0.462068965517241</v>
      </c>
      <c r="P602" s="27"/>
      <c r="Q602" s="27" t="s">
        <v>156</v>
      </c>
      <c r="R602" s="27" t="s">
        <v>91</v>
      </c>
      <c r="S602" s="27" t="n">
        <v>71</v>
      </c>
      <c r="T602" s="27"/>
    </row>
    <row r="603" customFormat="false" ht="15" hidden="false" customHeight="false" outlineLevel="0" collapsed="false">
      <c r="A603" s="26" t="n">
        <v>46115</v>
      </c>
      <c r="B603" s="27" t="n">
        <v>2026</v>
      </c>
      <c r="C603" s="27" t="n">
        <v>4</v>
      </c>
      <c r="D603" s="27" t="s">
        <v>83</v>
      </c>
      <c r="E603" s="27" t="s">
        <v>91</v>
      </c>
      <c r="F603" s="27" t="s">
        <v>103</v>
      </c>
      <c r="G603" s="27" t="s">
        <v>117</v>
      </c>
      <c r="H603" s="28" t="n">
        <v>4</v>
      </c>
      <c r="I603" s="29" t="n">
        <v>1450</v>
      </c>
      <c r="J603" s="29" t="n">
        <v>5800</v>
      </c>
      <c r="K603" s="29" t="n">
        <f aca="false">H603*I603</f>
        <v>5800</v>
      </c>
      <c r="L603" s="29" t="n">
        <f aca="false">IFERROR(INDEX(Cat_Productos!$B$2:$B$6,MATCH(G603,Cat_Productos!$A$2:$A$6,0)),"")</f>
        <v>780</v>
      </c>
      <c r="M603" s="29" t="n">
        <f aca="false">IF(L603="","",H603*L603)</f>
        <v>3120</v>
      </c>
      <c r="N603" s="29" t="n">
        <f aca="false">IF(M603="","",J603-M603)</f>
        <v>2680</v>
      </c>
      <c r="O603" s="30" t="n">
        <f aca="false">IFERROR(N603/J603,0)</f>
        <v>0.462068965517241</v>
      </c>
      <c r="P603" s="27"/>
      <c r="Q603" s="27" t="s">
        <v>156</v>
      </c>
      <c r="R603" s="27" t="s">
        <v>91</v>
      </c>
      <c r="S603" s="27" t="n">
        <v>59</v>
      </c>
      <c r="T603" s="27"/>
    </row>
    <row r="604" customFormat="false" ht="15" hidden="false" customHeight="false" outlineLevel="0" collapsed="false">
      <c r="A604" s="26" t="n">
        <v>46116</v>
      </c>
      <c r="B604" s="27" t="n">
        <v>2026</v>
      </c>
      <c r="C604" s="27" t="n">
        <v>4</v>
      </c>
      <c r="D604" s="27" t="s">
        <v>83</v>
      </c>
      <c r="E604" s="27" t="s">
        <v>92</v>
      </c>
      <c r="F604" s="27" t="s">
        <v>105</v>
      </c>
      <c r="G604" s="27" t="s">
        <v>115</v>
      </c>
      <c r="H604" s="28" t="n">
        <v>1</v>
      </c>
      <c r="I604" s="29" t="n">
        <v>6200</v>
      </c>
      <c r="J604" s="29" t="n">
        <v>6200</v>
      </c>
      <c r="K604" s="29" t="n">
        <f aca="false">H604*I604</f>
        <v>6200</v>
      </c>
      <c r="L604" s="29" t="n">
        <f aca="false">IFERROR(INDEX(Cat_Productos!$B$2:$B$6,MATCH(G604,Cat_Productos!$A$2:$A$6,0)),"")</f>
        <v>4100</v>
      </c>
      <c r="M604" s="29" t="n">
        <f aca="false">IF(L604="","",H604*L604)</f>
        <v>4100</v>
      </c>
      <c r="N604" s="29" t="n">
        <f aca="false">IF(M604="","",J604-M604)</f>
        <v>2100</v>
      </c>
      <c r="O604" s="30" t="n">
        <f aca="false">IFERROR(N604/J604,0)</f>
        <v>0.338709677419355</v>
      </c>
      <c r="P604" s="27"/>
      <c r="Q604" s="27" t="s">
        <v>156</v>
      </c>
      <c r="R604" s="27" t="s">
        <v>157</v>
      </c>
      <c r="S604" s="27" t="n">
        <v>16</v>
      </c>
      <c r="T604" s="27"/>
    </row>
    <row r="605" customFormat="false" ht="15" hidden="false" customHeight="false" outlineLevel="0" collapsed="false">
      <c r="A605" s="26" t="n">
        <v>46117</v>
      </c>
      <c r="B605" s="27" t="n">
        <v>2026</v>
      </c>
      <c r="C605" s="27" t="n">
        <v>4</v>
      </c>
      <c r="D605" s="27" t="s">
        <v>83</v>
      </c>
      <c r="E605" s="27" t="s">
        <v>91</v>
      </c>
      <c r="F605" s="27" t="s">
        <v>107</v>
      </c>
      <c r="G605" s="27" t="s">
        <v>116</v>
      </c>
      <c r="H605" s="28" t="n">
        <v>2</v>
      </c>
      <c r="I605" s="29" t="n">
        <v>620</v>
      </c>
      <c r="J605" s="29" t="n">
        <v>1240</v>
      </c>
      <c r="K605" s="29" t="n">
        <f aca="false">H605*I605</f>
        <v>1240</v>
      </c>
      <c r="L605" s="29" t="n">
        <f aca="false">IFERROR(INDEX(Cat_Productos!$B$2:$B$6,MATCH(G605,Cat_Productos!$A$2:$A$6,0)),"")</f>
        <v>290</v>
      </c>
      <c r="M605" s="29" t="n">
        <f aca="false">IF(L605="","",H605*L605)</f>
        <v>580</v>
      </c>
      <c r="N605" s="29" t="n">
        <f aca="false">IF(M605="","",J605-M605)</f>
        <v>660</v>
      </c>
      <c r="O605" s="30" t="n">
        <f aca="false">IFERROR(N605/J605,0)</f>
        <v>0.532258064516129</v>
      </c>
      <c r="P605" s="27"/>
      <c r="Q605" s="27" t="s">
        <v>156</v>
      </c>
      <c r="R605" s="27" t="s">
        <v>91</v>
      </c>
      <c r="S605" s="27" t="n">
        <v>37</v>
      </c>
      <c r="T605" s="27"/>
    </row>
    <row r="606" customFormat="false" ht="15" hidden="false" customHeight="false" outlineLevel="0" collapsed="false">
      <c r="A606" s="26" t="n">
        <v>46117</v>
      </c>
      <c r="B606" s="27" t="n">
        <v>2026</v>
      </c>
      <c r="C606" s="27" t="n">
        <v>4</v>
      </c>
      <c r="D606" s="27" t="s">
        <v>83</v>
      </c>
      <c r="E606" s="27" t="s">
        <v>93</v>
      </c>
      <c r="F606" s="27" t="s">
        <v>104</v>
      </c>
      <c r="G606" s="27" t="s">
        <v>116</v>
      </c>
      <c r="H606" s="28" t="n">
        <v>6</v>
      </c>
      <c r="I606" s="29" t="n">
        <v>620</v>
      </c>
      <c r="J606" s="29" t="n">
        <v>3720</v>
      </c>
      <c r="K606" s="29" t="n">
        <f aca="false">H606*I606</f>
        <v>3720</v>
      </c>
      <c r="L606" s="29" t="n">
        <f aca="false">IFERROR(INDEX(Cat_Productos!$B$2:$B$6,MATCH(G606,Cat_Productos!$A$2:$A$6,0)),"")</f>
        <v>290</v>
      </c>
      <c r="M606" s="29" t="n">
        <f aca="false">IF(L606="","",H606*L606)</f>
        <v>1740</v>
      </c>
      <c r="N606" s="29" t="n">
        <f aca="false">IF(M606="","",J606-M606)</f>
        <v>1980</v>
      </c>
      <c r="O606" s="30" t="n">
        <f aca="false">IFERROR(N606/J606,0)</f>
        <v>0.532258064516129</v>
      </c>
      <c r="P606" s="27"/>
      <c r="Q606" s="27" t="s">
        <v>156</v>
      </c>
      <c r="R606" s="27" t="s">
        <v>158</v>
      </c>
      <c r="S606" s="27" t="n">
        <v>37</v>
      </c>
      <c r="T606" s="27"/>
    </row>
    <row r="607" customFormat="false" ht="15" hidden="false" customHeight="false" outlineLevel="0" collapsed="false">
      <c r="A607" s="26" t="n">
        <v>46117</v>
      </c>
      <c r="B607" s="27" t="n">
        <v>2026</v>
      </c>
      <c r="C607" s="27" t="n">
        <v>4</v>
      </c>
      <c r="D607" s="27" t="s">
        <v>83</v>
      </c>
      <c r="E607" s="27" t="s">
        <v>91</v>
      </c>
      <c r="F607" s="27" t="s">
        <v>103</v>
      </c>
      <c r="G607" s="27" t="s">
        <v>117</v>
      </c>
      <c r="H607" s="28" t="n">
        <v>2</v>
      </c>
      <c r="I607" s="29" t="n">
        <v>1450</v>
      </c>
      <c r="J607" s="29" t="n">
        <v>2900</v>
      </c>
      <c r="K607" s="29" t="n">
        <f aca="false">H607*I607</f>
        <v>2900</v>
      </c>
      <c r="L607" s="29" t="n">
        <f aca="false">IFERROR(INDEX(Cat_Productos!$B$2:$B$6,MATCH(G607,Cat_Productos!$A$2:$A$6,0)),"")</f>
        <v>780</v>
      </c>
      <c r="M607" s="29" t="n">
        <f aca="false">IF(L607="","",H607*L607)</f>
        <v>1560</v>
      </c>
      <c r="N607" s="29" t="n">
        <f aca="false">IF(M607="","",J607-M607)</f>
        <v>1340</v>
      </c>
      <c r="O607" s="30" t="n">
        <f aca="false">IFERROR(N607/J607,0)</f>
        <v>0.462068965517241</v>
      </c>
      <c r="P607" s="27"/>
      <c r="Q607" s="27" t="s">
        <v>156</v>
      </c>
      <c r="R607" s="27" t="s">
        <v>91</v>
      </c>
      <c r="S607" s="27" t="n">
        <v>48</v>
      </c>
      <c r="T607" s="27"/>
    </row>
    <row r="608" customFormat="false" ht="15" hidden="false" customHeight="false" outlineLevel="0" collapsed="false">
      <c r="A608" s="26" t="n">
        <v>46117</v>
      </c>
      <c r="B608" s="27" t="n">
        <v>2026</v>
      </c>
      <c r="C608" s="27" t="n">
        <v>4</v>
      </c>
      <c r="D608" s="27" t="s">
        <v>83</v>
      </c>
      <c r="E608" s="27" t="s">
        <v>91</v>
      </c>
      <c r="F608" s="27" t="s">
        <v>103</v>
      </c>
      <c r="G608" s="27" t="s">
        <v>117</v>
      </c>
      <c r="H608" s="28" t="n">
        <v>4</v>
      </c>
      <c r="I608" s="29" t="n">
        <v>1450</v>
      </c>
      <c r="J608" s="29" t="n">
        <v>5800</v>
      </c>
      <c r="K608" s="29" t="n">
        <f aca="false">H608*I608</f>
        <v>5800</v>
      </c>
      <c r="L608" s="29" t="n">
        <f aca="false">IFERROR(INDEX(Cat_Productos!$B$2:$B$6,MATCH(G608,Cat_Productos!$A$2:$A$6,0)),"")</f>
        <v>780</v>
      </c>
      <c r="M608" s="29" t="n">
        <f aca="false">IF(L608="","",H608*L608)</f>
        <v>3120</v>
      </c>
      <c r="N608" s="29" t="n">
        <f aca="false">IF(M608="","",J608-M608)</f>
        <v>2680</v>
      </c>
      <c r="O608" s="30" t="n">
        <f aca="false">IFERROR(N608/J608,0)</f>
        <v>0.462068965517241</v>
      </c>
      <c r="P608" s="27"/>
      <c r="Q608" s="27" t="s">
        <v>156</v>
      </c>
      <c r="R608" s="27" t="s">
        <v>91</v>
      </c>
      <c r="S608" s="27" t="n">
        <v>50</v>
      </c>
      <c r="T608" s="27"/>
    </row>
    <row r="609" customFormat="false" ht="15" hidden="false" customHeight="false" outlineLevel="0" collapsed="false">
      <c r="A609" s="26" t="n">
        <v>46117</v>
      </c>
      <c r="B609" s="27" t="n">
        <v>2026</v>
      </c>
      <c r="C609" s="27" t="n">
        <v>4</v>
      </c>
      <c r="D609" s="27" t="s">
        <v>83</v>
      </c>
      <c r="E609" s="27" t="s">
        <v>93</v>
      </c>
      <c r="F609" s="27" t="s">
        <v>104</v>
      </c>
      <c r="G609" s="27" t="s">
        <v>117</v>
      </c>
      <c r="H609" s="28" t="n">
        <v>2</v>
      </c>
      <c r="I609" s="29" t="n">
        <v>1450</v>
      </c>
      <c r="J609" s="29" t="n">
        <v>2900</v>
      </c>
      <c r="K609" s="29" t="n">
        <f aca="false">H609*I609</f>
        <v>2900</v>
      </c>
      <c r="L609" s="29" t="n">
        <f aca="false">IFERROR(INDEX(Cat_Productos!$B$2:$B$6,MATCH(G609,Cat_Productos!$A$2:$A$6,0)),"")</f>
        <v>780</v>
      </c>
      <c r="M609" s="29" t="n">
        <f aca="false">IF(L609="","",H609*L609)</f>
        <v>1560</v>
      </c>
      <c r="N609" s="29" t="n">
        <f aca="false">IF(M609="","",J609-M609)</f>
        <v>1340</v>
      </c>
      <c r="O609" s="30" t="n">
        <f aca="false">IFERROR(N609/J609,0)</f>
        <v>0.462068965517241</v>
      </c>
      <c r="P609" s="27"/>
      <c r="Q609" s="27" t="s">
        <v>156</v>
      </c>
      <c r="R609" s="27" t="s">
        <v>158</v>
      </c>
      <c r="S609" s="27" t="n">
        <v>25</v>
      </c>
      <c r="T609" s="27"/>
    </row>
    <row r="610" customFormat="false" ht="15" hidden="false" customHeight="false" outlineLevel="0" collapsed="false">
      <c r="A610" s="26" t="n">
        <v>46117</v>
      </c>
      <c r="B610" s="27" t="n">
        <v>2026</v>
      </c>
      <c r="C610" s="27" t="n">
        <v>4</v>
      </c>
      <c r="D610" s="27" t="s">
        <v>83</v>
      </c>
      <c r="E610" s="27" t="s">
        <v>91</v>
      </c>
      <c r="F610" s="27" t="s">
        <v>103</v>
      </c>
      <c r="G610" s="27" t="s">
        <v>117</v>
      </c>
      <c r="H610" s="28" t="n">
        <v>4</v>
      </c>
      <c r="I610" s="29" t="n">
        <v>1450</v>
      </c>
      <c r="J610" s="29" t="n">
        <v>5800</v>
      </c>
      <c r="K610" s="29" t="n">
        <f aca="false">H610*I610</f>
        <v>5800</v>
      </c>
      <c r="L610" s="29" t="n">
        <f aca="false">IFERROR(INDEX(Cat_Productos!$B$2:$B$6,MATCH(G610,Cat_Productos!$A$2:$A$6,0)),"")</f>
        <v>780</v>
      </c>
      <c r="M610" s="29" t="n">
        <f aca="false">IF(L610="","",H610*L610)</f>
        <v>3120</v>
      </c>
      <c r="N610" s="29" t="n">
        <f aca="false">IF(M610="","",J610-M610)</f>
        <v>2680</v>
      </c>
      <c r="O610" s="30" t="n">
        <f aca="false">IFERROR(N610/J610,0)</f>
        <v>0.462068965517241</v>
      </c>
      <c r="P610" s="27"/>
      <c r="Q610" s="27" t="s">
        <v>156</v>
      </c>
      <c r="R610" s="27" t="s">
        <v>91</v>
      </c>
      <c r="S610" s="27" t="n">
        <v>66</v>
      </c>
      <c r="T610" s="27"/>
    </row>
    <row r="611" customFormat="false" ht="15" hidden="false" customHeight="false" outlineLevel="0" collapsed="false">
      <c r="A611" s="26" t="n">
        <v>46117</v>
      </c>
      <c r="B611" s="27" t="n">
        <v>2026</v>
      </c>
      <c r="C611" s="27" t="n">
        <v>4</v>
      </c>
      <c r="D611" s="27" t="s">
        <v>83</v>
      </c>
      <c r="E611" s="27" t="s">
        <v>91</v>
      </c>
      <c r="F611" s="27" t="s">
        <v>107</v>
      </c>
      <c r="G611" s="27" t="s">
        <v>117</v>
      </c>
      <c r="H611" s="28" t="n">
        <v>6</v>
      </c>
      <c r="I611" s="29" t="n">
        <v>1450</v>
      </c>
      <c r="J611" s="29" t="n">
        <v>8700</v>
      </c>
      <c r="K611" s="29" t="n">
        <f aca="false">H611*I611</f>
        <v>8700</v>
      </c>
      <c r="L611" s="29" t="n">
        <f aca="false">IFERROR(INDEX(Cat_Productos!$B$2:$B$6,MATCH(G611,Cat_Productos!$A$2:$A$6,0)),"")</f>
        <v>780</v>
      </c>
      <c r="M611" s="29" t="n">
        <f aca="false">IF(L611="","",H611*L611)</f>
        <v>4680</v>
      </c>
      <c r="N611" s="29" t="n">
        <f aca="false">IF(M611="","",J611-M611)</f>
        <v>4020</v>
      </c>
      <c r="O611" s="30" t="n">
        <f aca="false">IFERROR(N611/J611,0)</f>
        <v>0.462068965517241</v>
      </c>
      <c r="P611" s="27"/>
      <c r="Q611" s="27" t="s">
        <v>156</v>
      </c>
      <c r="R611" s="27" t="s">
        <v>91</v>
      </c>
      <c r="S611" s="27" t="n">
        <v>17</v>
      </c>
      <c r="T611" s="27"/>
    </row>
    <row r="612" customFormat="false" ht="15" hidden="false" customHeight="false" outlineLevel="0" collapsed="false">
      <c r="A612" s="26" t="n">
        <v>46117</v>
      </c>
      <c r="B612" s="27" t="n">
        <v>2026</v>
      </c>
      <c r="C612" s="27" t="n">
        <v>4</v>
      </c>
      <c r="D612" s="27" t="s">
        <v>83</v>
      </c>
      <c r="E612" s="27" t="s">
        <v>91</v>
      </c>
      <c r="F612" s="27" t="s">
        <v>103</v>
      </c>
      <c r="G612" s="27" t="s">
        <v>117</v>
      </c>
      <c r="H612" s="28" t="n">
        <v>6</v>
      </c>
      <c r="I612" s="29" t="n">
        <v>1450</v>
      </c>
      <c r="J612" s="29" t="n">
        <v>8700</v>
      </c>
      <c r="K612" s="29" t="n">
        <f aca="false">H612*I612</f>
        <v>8700</v>
      </c>
      <c r="L612" s="29" t="n">
        <f aca="false">IFERROR(INDEX(Cat_Productos!$B$2:$B$6,MATCH(G612,Cat_Productos!$A$2:$A$6,0)),"")</f>
        <v>780</v>
      </c>
      <c r="M612" s="29" t="n">
        <f aca="false">IF(L612="","",H612*L612)</f>
        <v>4680</v>
      </c>
      <c r="N612" s="29" t="n">
        <f aca="false">IF(M612="","",J612-M612)</f>
        <v>4020</v>
      </c>
      <c r="O612" s="30" t="n">
        <f aca="false">IFERROR(N612/J612,0)</f>
        <v>0.462068965517241</v>
      </c>
      <c r="P612" s="27"/>
      <c r="Q612" s="27" t="s">
        <v>156</v>
      </c>
      <c r="R612" s="27" t="s">
        <v>91</v>
      </c>
      <c r="S612" s="27" t="n">
        <v>70</v>
      </c>
      <c r="T612" s="27"/>
    </row>
    <row r="613" customFormat="false" ht="15" hidden="false" customHeight="false" outlineLevel="0" collapsed="false">
      <c r="A613" s="26" t="n">
        <v>46117</v>
      </c>
      <c r="B613" s="27" t="n">
        <v>2026</v>
      </c>
      <c r="C613" s="27" t="n">
        <v>4</v>
      </c>
      <c r="D613" s="27" t="s">
        <v>83</v>
      </c>
      <c r="E613" s="27" t="s">
        <v>91</v>
      </c>
      <c r="F613" s="27" t="s">
        <v>103</v>
      </c>
      <c r="G613" s="27" t="s">
        <v>116</v>
      </c>
      <c r="H613" s="28" t="n">
        <v>2</v>
      </c>
      <c r="I613" s="29" t="n">
        <v>620</v>
      </c>
      <c r="J613" s="29" t="n">
        <v>1240</v>
      </c>
      <c r="K613" s="29" t="n">
        <f aca="false">H613*I613</f>
        <v>1240</v>
      </c>
      <c r="L613" s="29" t="n">
        <f aca="false">IFERROR(INDEX(Cat_Productos!$B$2:$B$6,MATCH(G613,Cat_Productos!$A$2:$A$6,0)),"")</f>
        <v>290</v>
      </c>
      <c r="M613" s="29" t="n">
        <f aca="false">IF(L613="","",H613*L613)</f>
        <v>580</v>
      </c>
      <c r="N613" s="29" t="n">
        <f aca="false">IF(M613="","",J613-M613)</f>
        <v>660</v>
      </c>
      <c r="O613" s="30" t="n">
        <f aca="false">IFERROR(N613/J613,0)</f>
        <v>0.532258064516129</v>
      </c>
      <c r="P613" s="27"/>
      <c r="Q613" s="27" t="s">
        <v>156</v>
      </c>
      <c r="R613" s="27" t="s">
        <v>91</v>
      </c>
      <c r="S613" s="27" t="n">
        <v>74</v>
      </c>
      <c r="T613" s="27"/>
    </row>
    <row r="614" customFormat="false" ht="15" hidden="false" customHeight="false" outlineLevel="0" collapsed="false">
      <c r="A614" s="26" t="n">
        <v>46117</v>
      </c>
      <c r="B614" s="27" t="n">
        <v>2026</v>
      </c>
      <c r="C614" s="27" t="n">
        <v>4</v>
      </c>
      <c r="D614" s="27" t="s">
        <v>83</v>
      </c>
      <c r="E614" s="27" t="s">
        <v>91</v>
      </c>
      <c r="F614" s="27" t="s">
        <v>107</v>
      </c>
      <c r="G614" s="27" t="s">
        <v>117</v>
      </c>
      <c r="H614" s="28" t="n">
        <v>4</v>
      </c>
      <c r="I614" s="29" t="n">
        <v>1450</v>
      </c>
      <c r="J614" s="29" t="n">
        <v>5800</v>
      </c>
      <c r="K614" s="29" t="n">
        <f aca="false">H614*I614</f>
        <v>5800</v>
      </c>
      <c r="L614" s="29" t="n">
        <f aca="false">IFERROR(INDEX(Cat_Productos!$B$2:$B$6,MATCH(G614,Cat_Productos!$A$2:$A$6,0)),"")</f>
        <v>780</v>
      </c>
      <c r="M614" s="29" t="n">
        <f aca="false">IF(L614="","",H614*L614)</f>
        <v>3120</v>
      </c>
      <c r="N614" s="29" t="n">
        <f aca="false">IF(M614="","",J614-M614)</f>
        <v>2680</v>
      </c>
      <c r="O614" s="30" t="n">
        <f aca="false">IFERROR(N614/J614,0)</f>
        <v>0.462068965517241</v>
      </c>
      <c r="P614" s="27"/>
      <c r="Q614" s="27" t="s">
        <v>156</v>
      </c>
      <c r="R614" s="27" t="s">
        <v>91</v>
      </c>
      <c r="S614" s="27" t="n">
        <v>25</v>
      </c>
      <c r="T614" s="27"/>
    </row>
    <row r="615" customFormat="false" ht="15" hidden="false" customHeight="false" outlineLevel="0" collapsed="false">
      <c r="A615" s="26" t="n">
        <v>46117</v>
      </c>
      <c r="B615" s="27" t="n">
        <v>2026</v>
      </c>
      <c r="C615" s="27" t="n">
        <v>4</v>
      </c>
      <c r="D615" s="27" t="s">
        <v>83</v>
      </c>
      <c r="E615" s="27" t="s">
        <v>91</v>
      </c>
      <c r="F615" s="27" t="s">
        <v>103</v>
      </c>
      <c r="G615" s="27" t="s">
        <v>117</v>
      </c>
      <c r="H615" s="28" t="n">
        <v>2</v>
      </c>
      <c r="I615" s="29" t="n">
        <v>1450</v>
      </c>
      <c r="J615" s="29" t="n">
        <v>2900</v>
      </c>
      <c r="K615" s="29" t="n">
        <f aca="false">H615*I615</f>
        <v>2900</v>
      </c>
      <c r="L615" s="29" t="n">
        <f aca="false">IFERROR(INDEX(Cat_Productos!$B$2:$B$6,MATCH(G615,Cat_Productos!$A$2:$A$6,0)),"")</f>
        <v>780</v>
      </c>
      <c r="M615" s="29" t="n">
        <f aca="false">IF(L615="","",H615*L615)</f>
        <v>1560</v>
      </c>
      <c r="N615" s="29" t="n">
        <f aca="false">IF(M615="","",J615-M615)</f>
        <v>1340</v>
      </c>
      <c r="O615" s="30" t="n">
        <f aca="false">IFERROR(N615/J615,0)</f>
        <v>0.462068965517241</v>
      </c>
      <c r="P615" s="27"/>
      <c r="Q615" s="27" t="s">
        <v>156</v>
      </c>
      <c r="R615" s="27" t="s">
        <v>91</v>
      </c>
      <c r="S615" s="27" t="n">
        <v>58</v>
      </c>
      <c r="T615" s="27"/>
    </row>
    <row r="616" customFormat="false" ht="15" hidden="false" customHeight="false" outlineLevel="0" collapsed="false">
      <c r="A616" s="26" t="n">
        <v>46117</v>
      </c>
      <c r="B616" s="27" t="n">
        <v>2026</v>
      </c>
      <c r="C616" s="27" t="n">
        <v>4</v>
      </c>
      <c r="D616" s="27" t="s">
        <v>83</v>
      </c>
      <c r="E616" s="27" t="s">
        <v>91</v>
      </c>
      <c r="F616" s="27" t="s">
        <v>103</v>
      </c>
      <c r="G616" s="27" t="s">
        <v>114</v>
      </c>
      <c r="H616" s="28" t="n">
        <v>6</v>
      </c>
      <c r="I616" s="29" t="n">
        <v>24500</v>
      </c>
      <c r="J616" s="29" t="n">
        <v>147000</v>
      </c>
      <c r="K616" s="29" t="n">
        <f aca="false">H616*I616</f>
        <v>147000</v>
      </c>
      <c r="L616" s="29" t="n">
        <f aca="false">IFERROR(INDEX(Cat_Productos!$B$2:$B$6,MATCH(G616,Cat_Productos!$A$2:$A$6,0)),"")</f>
        <v>19200</v>
      </c>
      <c r="M616" s="29" t="n">
        <f aca="false">IF(L616="","",H616*L616)</f>
        <v>115200</v>
      </c>
      <c r="N616" s="29" t="n">
        <f aca="false">IF(M616="","",J616-M616)</f>
        <v>31800</v>
      </c>
      <c r="O616" s="30" t="n">
        <f aca="false">IFERROR(N616/J616,0)</f>
        <v>0.216326530612245</v>
      </c>
      <c r="P616" s="27"/>
      <c r="Q616" s="27" t="s">
        <v>156</v>
      </c>
      <c r="R616" s="27" t="s">
        <v>91</v>
      </c>
      <c r="S616" s="27" t="n">
        <v>42</v>
      </c>
      <c r="T616" s="27"/>
    </row>
    <row r="617" customFormat="false" ht="15" hidden="false" customHeight="false" outlineLevel="0" collapsed="false">
      <c r="A617" s="26" t="n">
        <v>46118</v>
      </c>
      <c r="B617" s="27" t="n">
        <v>2026</v>
      </c>
      <c r="C617" s="27" t="n">
        <v>4</v>
      </c>
      <c r="D617" s="27" t="s">
        <v>83</v>
      </c>
      <c r="E617" s="27" t="s">
        <v>93</v>
      </c>
      <c r="F617" s="27" t="s">
        <v>108</v>
      </c>
      <c r="G617" s="27" t="s">
        <v>114</v>
      </c>
      <c r="H617" s="28" t="n">
        <v>1</v>
      </c>
      <c r="I617" s="29" t="n">
        <v>24500</v>
      </c>
      <c r="J617" s="29" t="n">
        <v>24500</v>
      </c>
      <c r="K617" s="29" t="n">
        <f aca="false">H617*I617</f>
        <v>24500</v>
      </c>
      <c r="L617" s="29" t="n">
        <f aca="false">IFERROR(INDEX(Cat_Productos!$B$2:$B$6,MATCH(G617,Cat_Productos!$A$2:$A$6,0)),"")</f>
        <v>19200</v>
      </c>
      <c r="M617" s="29" t="n">
        <f aca="false">IF(L617="","",H617*L617)</f>
        <v>19200</v>
      </c>
      <c r="N617" s="29" t="n">
        <f aca="false">IF(M617="","",J617-M617)</f>
        <v>5300</v>
      </c>
      <c r="O617" s="30" t="n">
        <f aca="false">IFERROR(N617/J617,0)</f>
        <v>0.216326530612245</v>
      </c>
      <c r="P617" s="27"/>
      <c r="Q617" s="27" t="s">
        <v>156</v>
      </c>
      <c r="R617" s="27" t="s">
        <v>158</v>
      </c>
      <c r="S617" s="27" t="n">
        <v>6</v>
      </c>
      <c r="T617" s="27"/>
    </row>
    <row r="618" customFormat="false" ht="15" hidden="false" customHeight="false" outlineLevel="0" collapsed="false">
      <c r="A618" s="26" t="n">
        <v>46118</v>
      </c>
      <c r="B618" s="27" t="n">
        <v>2026</v>
      </c>
      <c r="C618" s="27" t="n">
        <v>4</v>
      </c>
      <c r="D618" s="27" t="s">
        <v>83</v>
      </c>
      <c r="E618" s="27" t="s">
        <v>92</v>
      </c>
      <c r="F618" s="27" t="s">
        <v>105</v>
      </c>
      <c r="G618" s="27" t="s">
        <v>118</v>
      </c>
      <c r="H618" s="28" t="n">
        <v>3</v>
      </c>
      <c r="I618" s="29" t="n">
        <v>1180</v>
      </c>
      <c r="J618" s="29" t="n">
        <v>3540</v>
      </c>
      <c r="K618" s="29" t="n">
        <f aca="false">H618*I618</f>
        <v>3540</v>
      </c>
      <c r="L618" s="29" t="n">
        <f aca="false">IFERROR(INDEX(Cat_Productos!$B$2:$B$6,MATCH(G618,Cat_Productos!$A$2:$A$6,0)),"")</f>
        <v>590</v>
      </c>
      <c r="M618" s="29" t="n">
        <f aca="false">IF(L618="","",H618*L618)</f>
        <v>1770</v>
      </c>
      <c r="N618" s="29" t="n">
        <f aca="false">IF(M618="","",J618-M618)</f>
        <v>1770</v>
      </c>
      <c r="O618" s="30" t="n">
        <f aca="false">IFERROR(N618/J618,0)</f>
        <v>0.5</v>
      </c>
      <c r="P618" s="27"/>
      <c r="Q618" s="27" t="s">
        <v>156</v>
      </c>
      <c r="R618" s="27" t="s">
        <v>157</v>
      </c>
      <c r="S618" s="27" t="n">
        <v>29</v>
      </c>
      <c r="T618" s="27"/>
    </row>
    <row r="619" customFormat="false" ht="15" hidden="false" customHeight="false" outlineLevel="0" collapsed="false">
      <c r="A619" s="26" t="n">
        <v>46119</v>
      </c>
      <c r="B619" s="27" t="n">
        <v>2026</v>
      </c>
      <c r="C619" s="27" t="n">
        <v>4</v>
      </c>
      <c r="D619" s="27" t="s">
        <v>83</v>
      </c>
      <c r="E619" s="27" t="s">
        <v>93</v>
      </c>
      <c r="F619" s="27" t="s">
        <v>104</v>
      </c>
      <c r="G619" s="27" t="s">
        <v>117</v>
      </c>
      <c r="H619" s="28" t="n">
        <v>2</v>
      </c>
      <c r="I619" s="29" t="n">
        <v>1450</v>
      </c>
      <c r="J619" s="29" t="n">
        <v>2900</v>
      </c>
      <c r="K619" s="29" t="n">
        <f aca="false">H619*I619</f>
        <v>2900</v>
      </c>
      <c r="L619" s="29" t="n">
        <f aca="false">IFERROR(INDEX(Cat_Productos!$B$2:$B$6,MATCH(G619,Cat_Productos!$A$2:$A$6,0)),"")</f>
        <v>780</v>
      </c>
      <c r="M619" s="29" t="n">
        <f aca="false">IF(L619="","",H619*L619)</f>
        <v>1560</v>
      </c>
      <c r="N619" s="29" t="n">
        <f aca="false">IF(M619="","",J619-M619)</f>
        <v>1340</v>
      </c>
      <c r="O619" s="30" t="n">
        <f aca="false">IFERROR(N619/J619,0)</f>
        <v>0.462068965517241</v>
      </c>
      <c r="P619" s="27"/>
      <c r="Q619" s="27" t="s">
        <v>156</v>
      </c>
      <c r="R619" s="27" t="s">
        <v>158</v>
      </c>
      <c r="S619" s="27" t="n">
        <v>32</v>
      </c>
      <c r="T619" s="27"/>
    </row>
    <row r="620" customFormat="false" ht="15" hidden="false" customHeight="false" outlineLevel="0" collapsed="false">
      <c r="A620" s="26" t="n">
        <v>46119</v>
      </c>
      <c r="B620" s="27" t="n">
        <v>2026</v>
      </c>
      <c r="C620" s="27" t="n">
        <v>4</v>
      </c>
      <c r="D620" s="27" t="s">
        <v>83</v>
      </c>
      <c r="E620" s="27" t="s">
        <v>91</v>
      </c>
      <c r="F620" s="27" t="s">
        <v>103</v>
      </c>
      <c r="G620" s="27" t="s">
        <v>116</v>
      </c>
      <c r="H620" s="28" t="n">
        <v>6</v>
      </c>
      <c r="I620" s="29" t="n">
        <v>620</v>
      </c>
      <c r="J620" s="29" t="n">
        <v>3720</v>
      </c>
      <c r="K620" s="29" t="n">
        <f aca="false">H620*I620</f>
        <v>3720</v>
      </c>
      <c r="L620" s="29" t="n">
        <f aca="false">IFERROR(INDEX(Cat_Productos!$B$2:$B$6,MATCH(G620,Cat_Productos!$A$2:$A$6,0)),"")</f>
        <v>290</v>
      </c>
      <c r="M620" s="29" t="n">
        <f aca="false">IF(L620="","",H620*L620)</f>
        <v>1740</v>
      </c>
      <c r="N620" s="29" t="n">
        <f aca="false">IF(M620="","",J620-M620)</f>
        <v>1980</v>
      </c>
      <c r="O620" s="30" t="n">
        <f aca="false">IFERROR(N620/J620,0)</f>
        <v>0.532258064516129</v>
      </c>
      <c r="P620" s="27"/>
      <c r="Q620" s="27" t="s">
        <v>156</v>
      </c>
      <c r="R620" s="27" t="s">
        <v>91</v>
      </c>
      <c r="S620" s="27" t="n">
        <v>87</v>
      </c>
      <c r="T620" s="27"/>
    </row>
    <row r="621" customFormat="false" ht="15" hidden="false" customHeight="false" outlineLevel="0" collapsed="false">
      <c r="A621" s="26" t="n">
        <v>46119</v>
      </c>
      <c r="B621" s="27" t="n">
        <v>2026</v>
      </c>
      <c r="C621" s="27" t="n">
        <v>4</v>
      </c>
      <c r="D621" s="27" t="s">
        <v>83</v>
      </c>
      <c r="E621" s="27" t="s">
        <v>92</v>
      </c>
      <c r="F621" s="27" t="s">
        <v>106</v>
      </c>
      <c r="G621" s="27" t="s">
        <v>117</v>
      </c>
      <c r="H621" s="28" t="n">
        <v>4</v>
      </c>
      <c r="I621" s="29" t="n">
        <v>1450</v>
      </c>
      <c r="J621" s="29" t="n">
        <v>5800</v>
      </c>
      <c r="K621" s="29" t="n">
        <f aca="false">H621*I621</f>
        <v>5800</v>
      </c>
      <c r="L621" s="29" t="n">
        <f aca="false">IFERROR(INDEX(Cat_Productos!$B$2:$B$6,MATCH(G621,Cat_Productos!$A$2:$A$6,0)),"")</f>
        <v>780</v>
      </c>
      <c r="M621" s="29" t="n">
        <f aca="false">IF(L621="","",H621*L621)</f>
        <v>3120</v>
      </c>
      <c r="N621" s="29" t="n">
        <f aca="false">IF(M621="","",J621-M621)</f>
        <v>2680</v>
      </c>
      <c r="O621" s="30" t="n">
        <f aca="false">IFERROR(N621/J621,0)</f>
        <v>0.462068965517241</v>
      </c>
      <c r="P621" s="27"/>
      <c r="Q621" s="27" t="s">
        <v>156</v>
      </c>
      <c r="R621" s="27" t="s">
        <v>157</v>
      </c>
      <c r="S621" s="27" t="n">
        <v>43</v>
      </c>
      <c r="T621" s="27"/>
    </row>
    <row r="622" customFormat="false" ht="15" hidden="false" customHeight="false" outlineLevel="0" collapsed="false">
      <c r="A622" s="26" t="n">
        <v>46119</v>
      </c>
      <c r="B622" s="27" t="n">
        <v>2026</v>
      </c>
      <c r="C622" s="27" t="n">
        <v>4</v>
      </c>
      <c r="D622" s="27" t="s">
        <v>83</v>
      </c>
      <c r="E622" s="27" t="s">
        <v>91</v>
      </c>
      <c r="F622" s="27" t="s">
        <v>103</v>
      </c>
      <c r="G622" s="27" t="s">
        <v>117</v>
      </c>
      <c r="H622" s="28" t="n">
        <v>6</v>
      </c>
      <c r="I622" s="29" t="n">
        <v>1450</v>
      </c>
      <c r="J622" s="29" t="n">
        <v>8700</v>
      </c>
      <c r="K622" s="29" t="n">
        <f aca="false">H622*I622</f>
        <v>8700</v>
      </c>
      <c r="L622" s="29" t="n">
        <f aca="false">IFERROR(INDEX(Cat_Productos!$B$2:$B$6,MATCH(G622,Cat_Productos!$A$2:$A$6,0)),"")</f>
        <v>780</v>
      </c>
      <c r="M622" s="29" t="n">
        <f aca="false">IF(L622="","",H622*L622)</f>
        <v>4680</v>
      </c>
      <c r="N622" s="29" t="n">
        <f aca="false">IF(M622="","",J622-M622)</f>
        <v>4020</v>
      </c>
      <c r="O622" s="30" t="n">
        <f aca="false">IFERROR(N622/J622,0)</f>
        <v>0.462068965517241</v>
      </c>
      <c r="P622" s="27"/>
      <c r="Q622" s="27" t="s">
        <v>156</v>
      </c>
      <c r="R622" s="27" t="s">
        <v>91</v>
      </c>
      <c r="S622" s="27" t="n">
        <v>67</v>
      </c>
      <c r="T622" s="27"/>
    </row>
    <row r="623" customFormat="false" ht="15" hidden="false" customHeight="false" outlineLevel="0" collapsed="false">
      <c r="A623" s="26" t="n">
        <v>46119</v>
      </c>
      <c r="B623" s="27" t="n">
        <v>2026</v>
      </c>
      <c r="C623" s="27" t="n">
        <v>4</v>
      </c>
      <c r="D623" s="27" t="s">
        <v>83</v>
      </c>
      <c r="E623" s="27" t="s">
        <v>91</v>
      </c>
      <c r="F623" s="27" t="s">
        <v>103</v>
      </c>
      <c r="G623" s="27" t="s">
        <v>117</v>
      </c>
      <c r="H623" s="28" t="n">
        <v>2</v>
      </c>
      <c r="I623" s="29" t="n">
        <v>1450</v>
      </c>
      <c r="J623" s="29" t="n">
        <v>2900</v>
      </c>
      <c r="K623" s="29" t="n">
        <f aca="false">H623*I623</f>
        <v>2900</v>
      </c>
      <c r="L623" s="29" t="n">
        <f aca="false">IFERROR(INDEX(Cat_Productos!$B$2:$B$6,MATCH(G623,Cat_Productos!$A$2:$A$6,0)),"")</f>
        <v>780</v>
      </c>
      <c r="M623" s="29" t="n">
        <f aca="false">IF(L623="","",H623*L623)</f>
        <v>1560</v>
      </c>
      <c r="N623" s="29" t="n">
        <f aca="false">IF(M623="","",J623-M623)</f>
        <v>1340</v>
      </c>
      <c r="O623" s="30" t="n">
        <f aca="false">IFERROR(N623/J623,0)</f>
        <v>0.462068965517241</v>
      </c>
      <c r="P623" s="27"/>
      <c r="Q623" s="27" t="s">
        <v>156</v>
      </c>
      <c r="R623" s="27" t="s">
        <v>91</v>
      </c>
      <c r="S623" s="27" t="n">
        <v>55</v>
      </c>
      <c r="T623" s="27"/>
    </row>
    <row r="624" customFormat="false" ht="15" hidden="false" customHeight="false" outlineLevel="0" collapsed="false">
      <c r="A624" s="26" t="n">
        <v>46119</v>
      </c>
      <c r="B624" s="27" t="n">
        <v>2026</v>
      </c>
      <c r="C624" s="27" t="n">
        <v>4</v>
      </c>
      <c r="D624" s="27" t="s">
        <v>83</v>
      </c>
      <c r="E624" s="27" t="s">
        <v>91</v>
      </c>
      <c r="F624" s="27" t="s">
        <v>107</v>
      </c>
      <c r="G624" s="27" t="s">
        <v>116</v>
      </c>
      <c r="H624" s="28" t="n">
        <v>6</v>
      </c>
      <c r="I624" s="29" t="n">
        <v>620</v>
      </c>
      <c r="J624" s="29" t="n">
        <v>3720</v>
      </c>
      <c r="K624" s="29" t="n">
        <f aca="false">H624*I624</f>
        <v>3720</v>
      </c>
      <c r="L624" s="29" t="n">
        <f aca="false">IFERROR(INDEX(Cat_Productos!$B$2:$B$6,MATCH(G624,Cat_Productos!$A$2:$A$6,0)),"")</f>
        <v>290</v>
      </c>
      <c r="M624" s="29" t="n">
        <f aca="false">IF(L624="","",H624*L624)</f>
        <v>1740</v>
      </c>
      <c r="N624" s="29" t="n">
        <f aca="false">IF(M624="","",J624-M624)</f>
        <v>1980</v>
      </c>
      <c r="O624" s="30" t="n">
        <f aca="false">IFERROR(N624/J624,0)</f>
        <v>0.532258064516129</v>
      </c>
      <c r="P624" s="27"/>
      <c r="Q624" s="27" t="s">
        <v>156</v>
      </c>
      <c r="R624" s="27" t="s">
        <v>91</v>
      </c>
      <c r="S624" s="27" t="n">
        <v>30</v>
      </c>
      <c r="T624" s="27"/>
    </row>
    <row r="625" customFormat="false" ht="15" hidden="false" customHeight="false" outlineLevel="0" collapsed="false">
      <c r="A625" s="26" t="n">
        <v>46119</v>
      </c>
      <c r="B625" s="27" t="n">
        <v>2026</v>
      </c>
      <c r="C625" s="27" t="n">
        <v>4</v>
      </c>
      <c r="D625" s="27" t="s">
        <v>83</v>
      </c>
      <c r="E625" s="27" t="s">
        <v>92</v>
      </c>
      <c r="F625" s="27" t="s">
        <v>106</v>
      </c>
      <c r="G625" s="27" t="s">
        <v>117</v>
      </c>
      <c r="H625" s="28" t="n">
        <v>4</v>
      </c>
      <c r="I625" s="29" t="n">
        <v>1450</v>
      </c>
      <c r="J625" s="29" t="n">
        <v>5800</v>
      </c>
      <c r="K625" s="29" t="n">
        <f aca="false">H625*I625</f>
        <v>5800</v>
      </c>
      <c r="L625" s="29" t="n">
        <f aca="false">IFERROR(INDEX(Cat_Productos!$B$2:$B$6,MATCH(G625,Cat_Productos!$A$2:$A$6,0)),"")</f>
        <v>780</v>
      </c>
      <c r="M625" s="29" t="n">
        <f aca="false">IF(L625="","",H625*L625)</f>
        <v>3120</v>
      </c>
      <c r="N625" s="29" t="n">
        <f aca="false">IF(M625="","",J625-M625)</f>
        <v>2680</v>
      </c>
      <c r="O625" s="30" t="n">
        <f aca="false">IFERROR(N625/J625,0)</f>
        <v>0.462068965517241</v>
      </c>
      <c r="P625" s="27"/>
      <c r="Q625" s="27" t="s">
        <v>156</v>
      </c>
      <c r="R625" s="27" t="s">
        <v>157</v>
      </c>
      <c r="S625" s="27" t="n">
        <v>39</v>
      </c>
      <c r="T625" s="27"/>
    </row>
    <row r="626" customFormat="false" ht="15" hidden="false" customHeight="false" outlineLevel="0" collapsed="false">
      <c r="A626" s="26" t="n">
        <v>46120</v>
      </c>
      <c r="B626" s="27" t="n">
        <v>2026</v>
      </c>
      <c r="C626" s="27" t="n">
        <v>4</v>
      </c>
      <c r="D626" s="27" t="s">
        <v>83</v>
      </c>
      <c r="E626" s="27" t="s">
        <v>92</v>
      </c>
      <c r="F626" s="27" t="s">
        <v>105</v>
      </c>
      <c r="G626" s="27" t="s">
        <v>114</v>
      </c>
      <c r="H626" s="28" t="n">
        <v>1</v>
      </c>
      <c r="I626" s="29" t="n">
        <v>24500</v>
      </c>
      <c r="J626" s="29" t="n">
        <v>24500</v>
      </c>
      <c r="K626" s="29" t="n">
        <f aca="false">H626*I626</f>
        <v>24500</v>
      </c>
      <c r="L626" s="29" t="n">
        <f aca="false">IFERROR(INDEX(Cat_Productos!$B$2:$B$6,MATCH(G626,Cat_Productos!$A$2:$A$6,0)),"")</f>
        <v>19200</v>
      </c>
      <c r="M626" s="29" t="n">
        <f aca="false">IF(L626="","",H626*L626)</f>
        <v>19200</v>
      </c>
      <c r="N626" s="29" t="n">
        <f aca="false">IF(M626="","",J626-M626)</f>
        <v>5300</v>
      </c>
      <c r="O626" s="30" t="n">
        <f aca="false">IFERROR(N626/J626,0)</f>
        <v>0.216326530612245</v>
      </c>
      <c r="P626" s="27"/>
      <c r="Q626" s="27" t="s">
        <v>156</v>
      </c>
      <c r="R626" s="27" t="s">
        <v>157</v>
      </c>
      <c r="S626" s="27" t="n">
        <v>4</v>
      </c>
      <c r="T626" s="27"/>
    </row>
    <row r="627" customFormat="false" ht="15" hidden="false" customHeight="false" outlineLevel="0" collapsed="false">
      <c r="A627" s="26" t="n">
        <v>46120</v>
      </c>
      <c r="B627" s="27" t="n">
        <v>2026</v>
      </c>
      <c r="C627" s="27" t="n">
        <v>4</v>
      </c>
      <c r="D627" s="27" t="s">
        <v>83</v>
      </c>
      <c r="E627" s="27" t="s">
        <v>93</v>
      </c>
      <c r="F627" s="27" t="s">
        <v>108</v>
      </c>
      <c r="G627" s="27" t="s">
        <v>118</v>
      </c>
      <c r="H627" s="28" t="n">
        <v>3</v>
      </c>
      <c r="I627" s="29" t="n">
        <v>1180</v>
      </c>
      <c r="J627" s="29" t="n">
        <v>3540</v>
      </c>
      <c r="K627" s="29" t="n">
        <f aca="false">H627*I627</f>
        <v>3540</v>
      </c>
      <c r="L627" s="29" t="n">
        <f aca="false">IFERROR(INDEX(Cat_Productos!$B$2:$B$6,MATCH(G627,Cat_Productos!$A$2:$A$6,0)),"")</f>
        <v>590</v>
      </c>
      <c r="M627" s="29" t="n">
        <f aca="false">IF(L627="","",H627*L627)</f>
        <v>1770</v>
      </c>
      <c r="N627" s="29" t="n">
        <f aca="false">IF(M627="","",J627-M627)</f>
        <v>1770</v>
      </c>
      <c r="O627" s="30" t="n">
        <f aca="false">IFERROR(N627/J627,0)</f>
        <v>0.5</v>
      </c>
      <c r="P627" s="27"/>
      <c r="Q627" s="27" t="s">
        <v>156</v>
      </c>
      <c r="R627" s="27" t="s">
        <v>158</v>
      </c>
      <c r="S627" s="27" t="n">
        <v>19</v>
      </c>
      <c r="T627" s="27"/>
    </row>
    <row r="628" customFormat="false" ht="15" hidden="false" customHeight="false" outlineLevel="0" collapsed="false">
      <c r="A628" s="26" t="n">
        <v>46120</v>
      </c>
      <c r="B628" s="27" t="n">
        <v>2026</v>
      </c>
      <c r="C628" s="27" t="n">
        <v>4</v>
      </c>
      <c r="D628" s="27" t="s">
        <v>83</v>
      </c>
      <c r="E628" s="27" t="s">
        <v>93</v>
      </c>
      <c r="F628" s="27" t="s">
        <v>108</v>
      </c>
      <c r="G628" s="27" t="s">
        <v>114</v>
      </c>
      <c r="H628" s="28" t="n">
        <v>3</v>
      </c>
      <c r="I628" s="29" t="n">
        <v>24500</v>
      </c>
      <c r="J628" s="29" t="n">
        <v>73500</v>
      </c>
      <c r="K628" s="29" t="n">
        <f aca="false">H628*I628</f>
        <v>73500</v>
      </c>
      <c r="L628" s="29" t="n">
        <f aca="false">IFERROR(INDEX(Cat_Productos!$B$2:$B$6,MATCH(G628,Cat_Productos!$A$2:$A$6,0)),"")</f>
        <v>19200</v>
      </c>
      <c r="M628" s="29" t="n">
        <f aca="false">IF(L628="","",H628*L628)</f>
        <v>57600</v>
      </c>
      <c r="N628" s="29" t="n">
        <f aca="false">IF(M628="","",J628-M628)</f>
        <v>15900</v>
      </c>
      <c r="O628" s="30" t="n">
        <f aca="false">IFERROR(N628/J628,0)</f>
        <v>0.216326530612245</v>
      </c>
      <c r="P628" s="27"/>
      <c r="Q628" s="27" t="s">
        <v>156</v>
      </c>
      <c r="R628" s="27" t="s">
        <v>158</v>
      </c>
      <c r="S628" s="27" t="n">
        <v>5</v>
      </c>
      <c r="T628" s="27"/>
    </row>
    <row r="629" customFormat="false" ht="15" hidden="false" customHeight="false" outlineLevel="0" collapsed="false">
      <c r="A629" s="26" t="n">
        <v>46120</v>
      </c>
      <c r="B629" s="27" t="n">
        <v>2026</v>
      </c>
      <c r="C629" s="27" t="n">
        <v>4</v>
      </c>
      <c r="D629" s="27" t="s">
        <v>83</v>
      </c>
      <c r="E629" s="27" t="s">
        <v>93</v>
      </c>
      <c r="F629" s="27" t="s">
        <v>108</v>
      </c>
      <c r="G629" s="27" t="s">
        <v>118</v>
      </c>
      <c r="H629" s="28" t="n">
        <v>3</v>
      </c>
      <c r="I629" s="29" t="n">
        <v>1180</v>
      </c>
      <c r="J629" s="29" t="n">
        <v>3540</v>
      </c>
      <c r="K629" s="29" t="n">
        <f aca="false">H629*I629</f>
        <v>3540</v>
      </c>
      <c r="L629" s="29" t="n">
        <f aca="false">IFERROR(INDEX(Cat_Productos!$B$2:$B$6,MATCH(G629,Cat_Productos!$A$2:$A$6,0)),"")</f>
        <v>590</v>
      </c>
      <c r="M629" s="29" t="n">
        <f aca="false">IF(L629="","",H629*L629)</f>
        <v>1770</v>
      </c>
      <c r="N629" s="29" t="n">
        <f aca="false">IF(M629="","",J629-M629)</f>
        <v>1770</v>
      </c>
      <c r="O629" s="30" t="n">
        <f aca="false">IFERROR(N629/J629,0)</f>
        <v>0.5</v>
      </c>
      <c r="P629" s="27"/>
      <c r="Q629" s="27" t="s">
        <v>156</v>
      </c>
      <c r="R629" s="27" t="s">
        <v>158</v>
      </c>
      <c r="S629" s="27" t="n">
        <v>21</v>
      </c>
      <c r="T629" s="27"/>
    </row>
    <row r="630" customFormat="false" ht="15" hidden="false" customHeight="false" outlineLevel="0" collapsed="false">
      <c r="A630" s="26" t="n">
        <v>46120</v>
      </c>
      <c r="B630" s="27" t="n">
        <v>2026</v>
      </c>
      <c r="C630" s="27" t="n">
        <v>4</v>
      </c>
      <c r="D630" s="27" t="s">
        <v>83</v>
      </c>
      <c r="E630" s="27" t="s">
        <v>92</v>
      </c>
      <c r="F630" s="27" t="s">
        <v>105</v>
      </c>
      <c r="G630" s="27" t="s">
        <v>118</v>
      </c>
      <c r="H630" s="28" t="n">
        <v>5</v>
      </c>
      <c r="I630" s="29" t="n">
        <v>1180</v>
      </c>
      <c r="J630" s="29" t="n">
        <v>5900</v>
      </c>
      <c r="K630" s="29" t="n">
        <f aca="false">H630*I630</f>
        <v>5900</v>
      </c>
      <c r="L630" s="29" t="n">
        <f aca="false">IFERROR(INDEX(Cat_Productos!$B$2:$B$6,MATCH(G630,Cat_Productos!$A$2:$A$6,0)),"")</f>
        <v>590</v>
      </c>
      <c r="M630" s="29" t="n">
        <f aca="false">IF(L630="","",H630*L630)</f>
        <v>2950</v>
      </c>
      <c r="N630" s="29" t="n">
        <f aca="false">IF(M630="","",J630-M630)</f>
        <v>2950</v>
      </c>
      <c r="O630" s="30" t="n">
        <f aca="false">IFERROR(N630/J630,0)</f>
        <v>0.5</v>
      </c>
      <c r="P630" s="27"/>
      <c r="Q630" s="27" t="s">
        <v>156</v>
      </c>
      <c r="R630" s="27" t="s">
        <v>157</v>
      </c>
      <c r="S630" s="27" t="n">
        <v>32</v>
      </c>
      <c r="T630" s="27"/>
    </row>
    <row r="631" customFormat="false" ht="15" hidden="false" customHeight="false" outlineLevel="0" collapsed="false">
      <c r="A631" s="26" t="n">
        <v>46121</v>
      </c>
      <c r="B631" s="27" t="n">
        <v>2026</v>
      </c>
      <c r="C631" s="27" t="n">
        <v>4</v>
      </c>
      <c r="D631" s="27" t="s">
        <v>83</v>
      </c>
      <c r="E631" s="27" t="s">
        <v>92</v>
      </c>
      <c r="F631" s="27" t="s">
        <v>106</v>
      </c>
      <c r="G631" s="27" t="s">
        <v>116</v>
      </c>
      <c r="H631" s="28" t="n">
        <v>2</v>
      </c>
      <c r="I631" s="29" t="n">
        <v>620</v>
      </c>
      <c r="J631" s="29" t="n">
        <v>1240</v>
      </c>
      <c r="K631" s="29" t="n">
        <f aca="false">H631*I631</f>
        <v>1240</v>
      </c>
      <c r="L631" s="29" t="n">
        <f aca="false">IFERROR(INDEX(Cat_Productos!$B$2:$B$6,MATCH(G631,Cat_Productos!$A$2:$A$6,0)),"")</f>
        <v>290</v>
      </c>
      <c r="M631" s="29" t="n">
        <f aca="false">IF(L631="","",H631*L631)</f>
        <v>580</v>
      </c>
      <c r="N631" s="29" t="n">
        <f aca="false">IF(M631="","",J631-M631)</f>
        <v>660</v>
      </c>
      <c r="O631" s="30" t="n">
        <f aca="false">IFERROR(N631/J631,0)</f>
        <v>0.532258064516129</v>
      </c>
      <c r="P631" s="27"/>
      <c r="Q631" s="27" t="s">
        <v>156</v>
      </c>
      <c r="R631" s="27" t="s">
        <v>157</v>
      </c>
      <c r="S631" s="27" t="n">
        <v>50</v>
      </c>
      <c r="T631" s="27"/>
    </row>
    <row r="632" customFormat="false" ht="15" hidden="false" customHeight="false" outlineLevel="0" collapsed="false">
      <c r="A632" s="26" t="n">
        <v>46121</v>
      </c>
      <c r="B632" s="27" t="n">
        <v>2026</v>
      </c>
      <c r="C632" s="27" t="n">
        <v>4</v>
      </c>
      <c r="D632" s="27" t="s">
        <v>83</v>
      </c>
      <c r="E632" s="27" t="s">
        <v>91</v>
      </c>
      <c r="F632" s="27" t="s">
        <v>103</v>
      </c>
      <c r="G632" s="27" t="s">
        <v>116</v>
      </c>
      <c r="H632" s="28" t="n">
        <v>4</v>
      </c>
      <c r="I632" s="29" t="n">
        <v>620</v>
      </c>
      <c r="J632" s="29" t="n">
        <v>2480</v>
      </c>
      <c r="K632" s="29" t="n">
        <f aca="false">H632*I632</f>
        <v>2480</v>
      </c>
      <c r="L632" s="29" t="n">
        <f aca="false">IFERROR(INDEX(Cat_Productos!$B$2:$B$6,MATCH(G632,Cat_Productos!$A$2:$A$6,0)),"")</f>
        <v>290</v>
      </c>
      <c r="M632" s="29" t="n">
        <f aca="false">IF(L632="","",H632*L632)</f>
        <v>1160</v>
      </c>
      <c r="N632" s="29" t="n">
        <f aca="false">IF(M632="","",J632-M632)</f>
        <v>1320</v>
      </c>
      <c r="O632" s="30" t="n">
        <f aca="false">IFERROR(N632/J632,0)</f>
        <v>0.532258064516129</v>
      </c>
      <c r="P632" s="27"/>
      <c r="Q632" s="27" t="s">
        <v>156</v>
      </c>
      <c r="R632" s="27" t="s">
        <v>91</v>
      </c>
      <c r="S632" s="27" t="n">
        <v>82</v>
      </c>
      <c r="T632" s="27"/>
    </row>
    <row r="633" customFormat="false" ht="15" hidden="false" customHeight="false" outlineLevel="0" collapsed="false">
      <c r="A633" s="26" t="n">
        <v>46121</v>
      </c>
      <c r="B633" s="27" t="n">
        <v>2026</v>
      </c>
      <c r="C633" s="27" t="n">
        <v>4</v>
      </c>
      <c r="D633" s="27" t="s">
        <v>83</v>
      </c>
      <c r="E633" s="27" t="s">
        <v>93</v>
      </c>
      <c r="F633" s="27" t="s">
        <v>104</v>
      </c>
      <c r="G633" s="27" t="s">
        <v>117</v>
      </c>
      <c r="H633" s="28" t="n">
        <v>2</v>
      </c>
      <c r="I633" s="29" t="n">
        <v>1450</v>
      </c>
      <c r="J633" s="29" t="n">
        <v>2900</v>
      </c>
      <c r="K633" s="29" t="n">
        <f aca="false">H633*I633</f>
        <v>2900</v>
      </c>
      <c r="L633" s="29" t="n">
        <f aca="false">IFERROR(INDEX(Cat_Productos!$B$2:$B$6,MATCH(G633,Cat_Productos!$A$2:$A$6,0)),"")</f>
        <v>780</v>
      </c>
      <c r="M633" s="29" t="n">
        <f aca="false">IF(L633="","",H633*L633)</f>
        <v>1560</v>
      </c>
      <c r="N633" s="29" t="n">
        <f aca="false">IF(M633="","",J633-M633)</f>
        <v>1340</v>
      </c>
      <c r="O633" s="30" t="n">
        <f aca="false">IFERROR(N633/J633,0)</f>
        <v>0.462068965517241</v>
      </c>
      <c r="P633" s="27"/>
      <c r="Q633" s="27" t="s">
        <v>156</v>
      </c>
      <c r="R633" s="27" t="s">
        <v>158</v>
      </c>
      <c r="S633" s="27" t="n">
        <v>33</v>
      </c>
      <c r="T633" s="27"/>
    </row>
    <row r="634" customFormat="false" ht="15" hidden="false" customHeight="false" outlineLevel="0" collapsed="false">
      <c r="A634" s="26" t="n">
        <v>46121</v>
      </c>
      <c r="B634" s="27" t="n">
        <v>2026</v>
      </c>
      <c r="C634" s="27" t="n">
        <v>4</v>
      </c>
      <c r="D634" s="27" t="s">
        <v>83</v>
      </c>
      <c r="E634" s="27" t="s">
        <v>91</v>
      </c>
      <c r="F634" s="27" t="s">
        <v>103</v>
      </c>
      <c r="G634" s="27" t="s">
        <v>116</v>
      </c>
      <c r="H634" s="28" t="n">
        <v>2</v>
      </c>
      <c r="I634" s="29" t="n">
        <v>620</v>
      </c>
      <c r="J634" s="29" t="n">
        <v>1240</v>
      </c>
      <c r="K634" s="29" t="n">
        <f aca="false">H634*I634</f>
        <v>1240</v>
      </c>
      <c r="L634" s="29" t="n">
        <f aca="false">IFERROR(INDEX(Cat_Productos!$B$2:$B$6,MATCH(G634,Cat_Productos!$A$2:$A$6,0)),"")</f>
        <v>290</v>
      </c>
      <c r="M634" s="29" t="n">
        <f aca="false">IF(L634="","",H634*L634)</f>
        <v>580</v>
      </c>
      <c r="N634" s="29" t="n">
        <f aca="false">IF(M634="","",J634-M634)</f>
        <v>660</v>
      </c>
      <c r="O634" s="30" t="n">
        <f aca="false">IFERROR(N634/J634,0)</f>
        <v>0.532258064516129</v>
      </c>
      <c r="P634" s="27"/>
      <c r="Q634" s="27" t="s">
        <v>156</v>
      </c>
      <c r="R634" s="27" t="s">
        <v>91</v>
      </c>
      <c r="S634" s="27" t="n">
        <v>72</v>
      </c>
      <c r="T634" s="27"/>
    </row>
    <row r="635" customFormat="false" ht="15" hidden="false" customHeight="false" outlineLevel="0" collapsed="false">
      <c r="A635" s="26" t="n">
        <v>46121</v>
      </c>
      <c r="B635" s="27" t="n">
        <v>2026</v>
      </c>
      <c r="C635" s="27" t="n">
        <v>4</v>
      </c>
      <c r="D635" s="27" t="s">
        <v>83</v>
      </c>
      <c r="E635" s="27" t="s">
        <v>91</v>
      </c>
      <c r="F635" s="27" t="s">
        <v>103</v>
      </c>
      <c r="G635" s="27" t="s">
        <v>117</v>
      </c>
      <c r="H635" s="28" t="n">
        <v>6</v>
      </c>
      <c r="I635" s="29" t="n">
        <v>1450</v>
      </c>
      <c r="J635" s="29" t="n">
        <v>8700</v>
      </c>
      <c r="K635" s="29" t="n">
        <f aca="false">H635*I635</f>
        <v>8700</v>
      </c>
      <c r="L635" s="29" t="n">
        <f aca="false">IFERROR(INDEX(Cat_Productos!$B$2:$B$6,MATCH(G635,Cat_Productos!$A$2:$A$6,0)),"")</f>
        <v>780</v>
      </c>
      <c r="M635" s="29" t="n">
        <f aca="false">IF(L635="","",H635*L635)</f>
        <v>4680</v>
      </c>
      <c r="N635" s="29" t="n">
        <f aca="false">IF(M635="","",J635-M635)</f>
        <v>4020</v>
      </c>
      <c r="O635" s="30" t="n">
        <f aca="false">IFERROR(N635/J635,0)</f>
        <v>0.462068965517241</v>
      </c>
      <c r="P635" s="27"/>
      <c r="Q635" s="27" t="s">
        <v>156</v>
      </c>
      <c r="R635" s="27" t="s">
        <v>91</v>
      </c>
      <c r="S635" s="27" t="n">
        <v>68</v>
      </c>
      <c r="T635" s="27"/>
    </row>
    <row r="636" customFormat="false" ht="15" hidden="false" customHeight="false" outlineLevel="0" collapsed="false">
      <c r="A636" s="26" t="n">
        <v>46121</v>
      </c>
      <c r="B636" s="27" t="n">
        <v>2026</v>
      </c>
      <c r="C636" s="27" t="n">
        <v>4</v>
      </c>
      <c r="D636" s="27" t="s">
        <v>83</v>
      </c>
      <c r="E636" s="27" t="s">
        <v>91</v>
      </c>
      <c r="F636" s="27" t="s">
        <v>103</v>
      </c>
      <c r="G636" s="27" t="s">
        <v>117</v>
      </c>
      <c r="H636" s="28" t="n">
        <v>4</v>
      </c>
      <c r="I636" s="29" t="n">
        <v>1450</v>
      </c>
      <c r="J636" s="29" t="n">
        <v>5800</v>
      </c>
      <c r="K636" s="29" t="n">
        <f aca="false">H636*I636</f>
        <v>5800</v>
      </c>
      <c r="L636" s="29" t="n">
        <f aca="false">IFERROR(INDEX(Cat_Productos!$B$2:$B$6,MATCH(G636,Cat_Productos!$A$2:$A$6,0)),"")</f>
        <v>780</v>
      </c>
      <c r="M636" s="29" t="n">
        <f aca="false">IF(L636="","",H636*L636)</f>
        <v>3120</v>
      </c>
      <c r="N636" s="29" t="n">
        <f aca="false">IF(M636="","",J636-M636)</f>
        <v>2680</v>
      </c>
      <c r="O636" s="30" t="n">
        <f aca="false">IFERROR(N636/J636,0)</f>
        <v>0.462068965517241</v>
      </c>
      <c r="P636" s="27"/>
      <c r="Q636" s="27" t="s">
        <v>156</v>
      </c>
      <c r="R636" s="27" t="s">
        <v>91</v>
      </c>
      <c r="S636" s="27" t="n">
        <v>56</v>
      </c>
      <c r="T636" s="27"/>
    </row>
    <row r="637" customFormat="false" ht="15" hidden="false" customHeight="false" outlineLevel="0" collapsed="false">
      <c r="A637" s="26" t="n">
        <v>46121</v>
      </c>
      <c r="B637" s="27" t="n">
        <v>2026</v>
      </c>
      <c r="C637" s="27" t="n">
        <v>4</v>
      </c>
      <c r="D637" s="27" t="s">
        <v>83</v>
      </c>
      <c r="E637" s="27" t="s">
        <v>91</v>
      </c>
      <c r="F637" s="27" t="s">
        <v>103</v>
      </c>
      <c r="G637" s="27" t="s">
        <v>117</v>
      </c>
      <c r="H637" s="28" t="n">
        <v>4</v>
      </c>
      <c r="I637" s="29" t="n">
        <v>1450</v>
      </c>
      <c r="J637" s="29" t="n">
        <v>5800</v>
      </c>
      <c r="K637" s="29" t="n">
        <f aca="false">H637*I637</f>
        <v>5800</v>
      </c>
      <c r="L637" s="29" t="n">
        <f aca="false">IFERROR(INDEX(Cat_Productos!$B$2:$B$6,MATCH(G637,Cat_Productos!$A$2:$A$6,0)),"")</f>
        <v>780</v>
      </c>
      <c r="M637" s="29" t="n">
        <f aca="false">IF(L637="","",H637*L637)</f>
        <v>3120</v>
      </c>
      <c r="N637" s="29" t="n">
        <f aca="false">IF(M637="","",J637-M637)</f>
        <v>2680</v>
      </c>
      <c r="O637" s="30" t="n">
        <f aca="false">IFERROR(N637/J637,0)</f>
        <v>0.462068965517241</v>
      </c>
      <c r="P637" s="27"/>
      <c r="Q637" s="27" t="s">
        <v>156</v>
      </c>
      <c r="R637" s="27" t="s">
        <v>91</v>
      </c>
      <c r="S637" s="27" t="n">
        <v>54</v>
      </c>
      <c r="T637" s="27"/>
    </row>
    <row r="638" customFormat="false" ht="15" hidden="false" customHeight="false" outlineLevel="0" collapsed="false">
      <c r="A638" s="26" t="n">
        <v>46121</v>
      </c>
      <c r="B638" s="27" t="n">
        <v>2026</v>
      </c>
      <c r="C638" s="27" t="n">
        <v>4</v>
      </c>
      <c r="D638" s="27" t="s">
        <v>83</v>
      </c>
      <c r="E638" s="27" t="s">
        <v>91</v>
      </c>
      <c r="F638" s="27" t="s">
        <v>103</v>
      </c>
      <c r="G638" s="27" t="s">
        <v>117</v>
      </c>
      <c r="H638" s="28" t="n">
        <v>6</v>
      </c>
      <c r="I638" s="29" t="n">
        <v>1450</v>
      </c>
      <c r="J638" s="29" t="n">
        <v>8700</v>
      </c>
      <c r="K638" s="29" t="n">
        <f aca="false">H638*I638</f>
        <v>8700</v>
      </c>
      <c r="L638" s="29" t="n">
        <f aca="false">IFERROR(INDEX(Cat_Productos!$B$2:$B$6,MATCH(G638,Cat_Productos!$A$2:$A$6,0)),"")</f>
        <v>780</v>
      </c>
      <c r="M638" s="29" t="n">
        <f aca="false">IF(L638="","",H638*L638)</f>
        <v>4680</v>
      </c>
      <c r="N638" s="29" t="n">
        <f aca="false">IF(M638="","",J638-M638)</f>
        <v>4020</v>
      </c>
      <c r="O638" s="30" t="n">
        <f aca="false">IFERROR(N638/J638,0)</f>
        <v>0.462068965517241</v>
      </c>
      <c r="P638" s="27"/>
      <c r="Q638" s="27" t="s">
        <v>156</v>
      </c>
      <c r="R638" s="27" t="s">
        <v>91</v>
      </c>
      <c r="S638" s="27" t="n">
        <v>52</v>
      </c>
      <c r="T638" s="27"/>
    </row>
    <row r="639" customFormat="false" ht="15" hidden="false" customHeight="false" outlineLevel="0" collapsed="false">
      <c r="A639" s="26" t="n">
        <v>46121</v>
      </c>
      <c r="B639" s="27" t="n">
        <v>2026</v>
      </c>
      <c r="C639" s="27" t="n">
        <v>4</v>
      </c>
      <c r="D639" s="27" t="s">
        <v>83</v>
      </c>
      <c r="E639" s="27" t="s">
        <v>93</v>
      </c>
      <c r="F639" s="27" t="s">
        <v>104</v>
      </c>
      <c r="G639" s="27" t="s">
        <v>117</v>
      </c>
      <c r="H639" s="28" t="n">
        <v>2</v>
      </c>
      <c r="I639" s="29" t="n">
        <v>1450</v>
      </c>
      <c r="J639" s="29" t="n">
        <v>2900</v>
      </c>
      <c r="K639" s="29" t="n">
        <f aca="false">H639*I639</f>
        <v>2900</v>
      </c>
      <c r="L639" s="29" t="n">
        <f aca="false">IFERROR(INDEX(Cat_Productos!$B$2:$B$6,MATCH(G639,Cat_Productos!$A$2:$A$6,0)),"")</f>
        <v>780</v>
      </c>
      <c r="M639" s="29" t="n">
        <f aca="false">IF(L639="","",H639*L639)</f>
        <v>1560</v>
      </c>
      <c r="N639" s="29" t="n">
        <f aca="false">IF(M639="","",J639-M639)</f>
        <v>1340</v>
      </c>
      <c r="O639" s="30" t="n">
        <f aca="false">IFERROR(N639/J639,0)</f>
        <v>0.462068965517241</v>
      </c>
      <c r="P639" s="27"/>
      <c r="Q639" s="27" t="s">
        <v>156</v>
      </c>
      <c r="R639" s="27" t="s">
        <v>158</v>
      </c>
      <c r="S639" s="27" t="n">
        <v>29</v>
      </c>
      <c r="T639" s="27"/>
    </row>
    <row r="640" customFormat="false" ht="15" hidden="false" customHeight="false" outlineLevel="0" collapsed="false">
      <c r="A640" s="26" t="n">
        <v>46122</v>
      </c>
      <c r="B640" s="27" t="n">
        <v>2026</v>
      </c>
      <c r="C640" s="27" t="n">
        <v>4</v>
      </c>
      <c r="D640" s="27" t="s">
        <v>83</v>
      </c>
      <c r="E640" s="27" t="s">
        <v>93</v>
      </c>
      <c r="F640" s="27" t="s">
        <v>108</v>
      </c>
      <c r="G640" s="27" t="s">
        <v>118</v>
      </c>
      <c r="H640" s="28" t="n">
        <v>3</v>
      </c>
      <c r="I640" s="29" t="n">
        <v>1180</v>
      </c>
      <c r="J640" s="29" t="n">
        <v>3540</v>
      </c>
      <c r="K640" s="29" t="n">
        <f aca="false">H640*I640</f>
        <v>3540</v>
      </c>
      <c r="L640" s="29" t="n">
        <f aca="false">IFERROR(INDEX(Cat_Productos!$B$2:$B$6,MATCH(G640,Cat_Productos!$A$2:$A$6,0)),"")</f>
        <v>590</v>
      </c>
      <c r="M640" s="29" t="n">
        <f aca="false">IF(L640="","",H640*L640)</f>
        <v>1770</v>
      </c>
      <c r="N640" s="29" t="n">
        <f aca="false">IF(M640="","",J640-M640)</f>
        <v>1770</v>
      </c>
      <c r="O640" s="30" t="n">
        <f aca="false">IFERROR(N640/J640,0)</f>
        <v>0.5</v>
      </c>
      <c r="P640" s="27"/>
      <c r="Q640" s="27" t="s">
        <v>156</v>
      </c>
      <c r="R640" s="27" t="s">
        <v>158</v>
      </c>
      <c r="S640" s="27" t="n">
        <v>16</v>
      </c>
      <c r="T640" s="27"/>
    </row>
    <row r="641" customFormat="false" ht="15" hidden="false" customHeight="false" outlineLevel="0" collapsed="false">
      <c r="A641" s="26" t="n">
        <v>46122</v>
      </c>
      <c r="B641" s="27" t="n">
        <v>2026</v>
      </c>
      <c r="C641" s="27" t="n">
        <v>4</v>
      </c>
      <c r="D641" s="27" t="s">
        <v>83</v>
      </c>
      <c r="E641" s="27" t="s">
        <v>93</v>
      </c>
      <c r="F641" s="27" t="s">
        <v>108</v>
      </c>
      <c r="G641" s="27" t="s">
        <v>118</v>
      </c>
      <c r="H641" s="28" t="n">
        <v>5</v>
      </c>
      <c r="I641" s="29" t="n">
        <v>1180</v>
      </c>
      <c r="J641" s="29" t="n">
        <v>5900</v>
      </c>
      <c r="K641" s="29" t="n">
        <f aca="false">H641*I641</f>
        <v>5900</v>
      </c>
      <c r="L641" s="29" t="n">
        <f aca="false">IFERROR(INDEX(Cat_Productos!$B$2:$B$6,MATCH(G641,Cat_Productos!$A$2:$A$6,0)),"")</f>
        <v>590</v>
      </c>
      <c r="M641" s="29" t="n">
        <f aca="false">IF(L641="","",H641*L641)</f>
        <v>2950</v>
      </c>
      <c r="N641" s="29" t="n">
        <f aca="false">IF(M641="","",J641-M641)</f>
        <v>2950</v>
      </c>
      <c r="O641" s="30" t="n">
        <f aca="false">IFERROR(N641/J641,0)</f>
        <v>0.5</v>
      </c>
      <c r="P641" s="27"/>
      <c r="Q641" s="27" t="s">
        <v>156</v>
      </c>
      <c r="R641" s="27" t="s">
        <v>158</v>
      </c>
      <c r="S641" s="27" t="n">
        <v>18</v>
      </c>
      <c r="T641" s="27"/>
    </row>
    <row r="642" customFormat="false" ht="15" hidden="false" customHeight="false" outlineLevel="0" collapsed="false">
      <c r="A642" s="26" t="n">
        <v>46122</v>
      </c>
      <c r="B642" s="27" t="n">
        <v>2026</v>
      </c>
      <c r="C642" s="27" t="n">
        <v>4</v>
      </c>
      <c r="D642" s="27" t="s">
        <v>83</v>
      </c>
      <c r="E642" s="27" t="s">
        <v>92</v>
      </c>
      <c r="F642" s="27" t="s">
        <v>105</v>
      </c>
      <c r="G642" s="27" t="s">
        <v>115</v>
      </c>
      <c r="H642" s="28" t="n">
        <v>3</v>
      </c>
      <c r="I642" s="29" t="n">
        <v>6200</v>
      </c>
      <c r="J642" s="29" t="n">
        <v>18600</v>
      </c>
      <c r="K642" s="29" t="n">
        <f aca="false">H642*I642</f>
        <v>18600</v>
      </c>
      <c r="L642" s="29" t="n">
        <f aca="false">IFERROR(INDEX(Cat_Productos!$B$2:$B$6,MATCH(G642,Cat_Productos!$A$2:$A$6,0)),"")</f>
        <v>4100</v>
      </c>
      <c r="M642" s="29" t="n">
        <f aca="false">IF(L642="","",H642*L642)</f>
        <v>12300</v>
      </c>
      <c r="N642" s="29" t="n">
        <f aca="false">IF(M642="","",J642-M642)</f>
        <v>6300</v>
      </c>
      <c r="O642" s="30" t="n">
        <f aca="false">IFERROR(N642/J642,0)</f>
        <v>0.338709677419355</v>
      </c>
      <c r="P642" s="27"/>
      <c r="Q642" s="27" t="s">
        <v>156</v>
      </c>
      <c r="R642" s="27" t="s">
        <v>157</v>
      </c>
      <c r="S642" s="27" t="n">
        <v>15</v>
      </c>
      <c r="T642" s="27"/>
    </row>
    <row r="643" customFormat="false" ht="15" hidden="false" customHeight="false" outlineLevel="0" collapsed="false">
      <c r="A643" s="26" t="n">
        <v>46122</v>
      </c>
      <c r="B643" s="27" t="n">
        <v>2026</v>
      </c>
      <c r="C643" s="27" t="n">
        <v>4</v>
      </c>
      <c r="D643" s="27" t="s">
        <v>83</v>
      </c>
      <c r="E643" s="27" t="s">
        <v>92</v>
      </c>
      <c r="F643" s="27" t="s">
        <v>105</v>
      </c>
      <c r="G643" s="27" t="s">
        <v>114</v>
      </c>
      <c r="H643" s="28" t="n">
        <v>1</v>
      </c>
      <c r="I643" s="29" t="n">
        <v>24500</v>
      </c>
      <c r="J643" s="29" t="n">
        <v>24500</v>
      </c>
      <c r="K643" s="29" t="n">
        <f aca="false">H643*I643</f>
        <v>24500</v>
      </c>
      <c r="L643" s="29" t="n">
        <f aca="false">IFERROR(INDEX(Cat_Productos!$B$2:$B$6,MATCH(G643,Cat_Productos!$A$2:$A$6,0)),"")</f>
        <v>19200</v>
      </c>
      <c r="M643" s="29" t="n">
        <f aca="false">IF(L643="","",H643*L643)</f>
        <v>19200</v>
      </c>
      <c r="N643" s="29" t="n">
        <f aca="false">IF(M643="","",J643-M643)</f>
        <v>5300</v>
      </c>
      <c r="O643" s="30" t="n">
        <f aca="false">IFERROR(N643/J643,0)</f>
        <v>0.216326530612245</v>
      </c>
      <c r="P643" s="27"/>
      <c r="Q643" s="27" t="s">
        <v>156</v>
      </c>
      <c r="R643" s="27" t="s">
        <v>157</v>
      </c>
      <c r="S643" s="27" t="n">
        <v>9</v>
      </c>
      <c r="T643" s="27"/>
    </row>
    <row r="644" customFormat="false" ht="15" hidden="false" customHeight="false" outlineLevel="0" collapsed="false">
      <c r="A644" s="26" t="n">
        <v>46123</v>
      </c>
      <c r="B644" s="27" t="n">
        <v>2026</v>
      </c>
      <c r="C644" s="27" t="n">
        <v>4</v>
      </c>
      <c r="D644" s="27" t="s">
        <v>83</v>
      </c>
      <c r="E644" s="27" t="s">
        <v>91</v>
      </c>
      <c r="F644" s="27" t="s">
        <v>103</v>
      </c>
      <c r="G644" s="27" t="s">
        <v>116</v>
      </c>
      <c r="H644" s="28" t="n">
        <v>2</v>
      </c>
      <c r="I644" s="29" t="n">
        <v>620</v>
      </c>
      <c r="J644" s="29" t="n">
        <v>1240</v>
      </c>
      <c r="K644" s="29" t="n">
        <f aca="false">H644*I644</f>
        <v>1240</v>
      </c>
      <c r="L644" s="29" t="n">
        <f aca="false">IFERROR(INDEX(Cat_Productos!$B$2:$B$6,MATCH(G644,Cat_Productos!$A$2:$A$6,0)),"")</f>
        <v>290</v>
      </c>
      <c r="M644" s="29" t="n">
        <f aca="false">IF(L644="","",H644*L644)</f>
        <v>580</v>
      </c>
      <c r="N644" s="29" t="n">
        <f aca="false">IF(M644="","",J644-M644)</f>
        <v>660</v>
      </c>
      <c r="O644" s="30" t="n">
        <f aca="false">IFERROR(N644/J644,0)</f>
        <v>0.532258064516129</v>
      </c>
      <c r="P644" s="27"/>
      <c r="Q644" s="27" t="s">
        <v>156</v>
      </c>
      <c r="R644" s="27" t="s">
        <v>91</v>
      </c>
      <c r="S644" s="27" t="n">
        <v>95</v>
      </c>
      <c r="T644" s="27"/>
    </row>
    <row r="645" customFormat="false" ht="15" hidden="false" customHeight="false" outlineLevel="0" collapsed="false">
      <c r="A645" s="26" t="n">
        <v>46123</v>
      </c>
      <c r="B645" s="27" t="n">
        <v>2026</v>
      </c>
      <c r="C645" s="27" t="n">
        <v>4</v>
      </c>
      <c r="D645" s="27" t="s">
        <v>83</v>
      </c>
      <c r="E645" s="27" t="s">
        <v>91</v>
      </c>
      <c r="F645" s="27" t="s">
        <v>107</v>
      </c>
      <c r="G645" s="27" t="s">
        <v>117</v>
      </c>
      <c r="H645" s="28" t="n">
        <v>4</v>
      </c>
      <c r="I645" s="29" t="n">
        <v>1450</v>
      </c>
      <c r="J645" s="29" t="n">
        <v>5800</v>
      </c>
      <c r="K645" s="29" t="n">
        <f aca="false">H645*I645</f>
        <v>5800</v>
      </c>
      <c r="L645" s="29" t="n">
        <f aca="false">IFERROR(INDEX(Cat_Productos!$B$2:$B$6,MATCH(G645,Cat_Productos!$A$2:$A$6,0)),"")</f>
        <v>780</v>
      </c>
      <c r="M645" s="29" t="n">
        <f aca="false">IF(L645="","",H645*L645)</f>
        <v>3120</v>
      </c>
      <c r="N645" s="29" t="n">
        <f aca="false">IF(M645="","",J645-M645)</f>
        <v>2680</v>
      </c>
      <c r="O645" s="30" t="n">
        <f aca="false">IFERROR(N645/J645,0)</f>
        <v>0.462068965517241</v>
      </c>
      <c r="P645" s="27"/>
      <c r="Q645" s="27" t="s">
        <v>156</v>
      </c>
      <c r="R645" s="27" t="s">
        <v>91</v>
      </c>
      <c r="S645" s="27" t="n">
        <v>20</v>
      </c>
      <c r="T645" s="27"/>
    </row>
    <row r="646" customFormat="false" ht="15" hidden="false" customHeight="false" outlineLevel="0" collapsed="false">
      <c r="A646" s="26" t="n">
        <v>46123</v>
      </c>
      <c r="B646" s="27" t="n">
        <v>2026</v>
      </c>
      <c r="C646" s="27" t="n">
        <v>4</v>
      </c>
      <c r="D646" s="27" t="s">
        <v>83</v>
      </c>
      <c r="E646" s="27" t="s">
        <v>91</v>
      </c>
      <c r="F646" s="27" t="s">
        <v>107</v>
      </c>
      <c r="G646" s="27" t="s">
        <v>117</v>
      </c>
      <c r="H646" s="28" t="n">
        <v>4</v>
      </c>
      <c r="I646" s="29" t="n">
        <v>1450</v>
      </c>
      <c r="J646" s="29" t="n">
        <v>5800</v>
      </c>
      <c r="K646" s="29" t="n">
        <f aca="false">H646*I646</f>
        <v>5800</v>
      </c>
      <c r="L646" s="29" t="n">
        <f aca="false">IFERROR(INDEX(Cat_Productos!$B$2:$B$6,MATCH(G646,Cat_Productos!$A$2:$A$6,0)),"")</f>
        <v>780</v>
      </c>
      <c r="M646" s="29" t="n">
        <f aca="false">IF(L646="","",H646*L646)</f>
        <v>3120</v>
      </c>
      <c r="N646" s="29" t="n">
        <f aca="false">IF(M646="","",J646-M646)</f>
        <v>2680</v>
      </c>
      <c r="O646" s="30" t="n">
        <f aca="false">IFERROR(N646/J646,0)</f>
        <v>0.462068965517241</v>
      </c>
      <c r="P646" s="27"/>
      <c r="Q646" s="27" t="s">
        <v>156</v>
      </c>
      <c r="R646" s="27" t="s">
        <v>91</v>
      </c>
      <c r="S646" s="27" t="n">
        <v>24</v>
      </c>
      <c r="T646" s="27"/>
    </row>
    <row r="647" customFormat="false" ht="15" hidden="false" customHeight="false" outlineLevel="0" collapsed="false">
      <c r="A647" s="26" t="n">
        <v>46123</v>
      </c>
      <c r="B647" s="27" t="n">
        <v>2026</v>
      </c>
      <c r="C647" s="27" t="n">
        <v>4</v>
      </c>
      <c r="D647" s="27" t="s">
        <v>83</v>
      </c>
      <c r="E647" s="27" t="s">
        <v>91</v>
      </c>
      <c r="F647" s="27" t="s">
        <v>107</v>
      </c>
      <c r="G647" s="27" t="s">
        <v>114</v>
      </c>
      <c r="H647" s="28" t="n">
        <v>2</v>
      </c>
      <c r="I647" s="29" t="n">
        <v>24500</v>
      </c>
      <c r="J647" s="29" t="n">
        <v>49000</v>
      </c>
      <c r="K647" s="29" t="n">
        <f aca="false">H647*I647</f>
        <v>49000</v>
      </c>
      <c r="L647" s="29" t="n">
        <f aca="false">IFERROR(INDEX(Cat_Productos!$B$2:$B$6,MATCH(G647,Cat_Productos!$A$2:$A$6,0)),"")</f>
        <v>19200</v>
      </c>
      <c r="M647" s="29" t="n">
        <f aca="false">IF(L647="","",H647*L647)</f>
        <v>38400</v>
      </c>
      <c r="N647" s="29" t="n">
        <f aca="false">IF(M647="","",J647-M647)</f>
        <v>10600</v>
      </c>
      <c r="O647" s="30" t="n">
        <f aca="false">IFERROR(N647/J647,0)</f>
        <v>0.216326530612245</v>
      </c>
      <c r="P647" s="27"/>
      <c r="Q647" s="27" t="s">
        <v>156</v>
      </c>
      <c r="R647" s="27" t="s">
        <v>91</v>
      </c>
      <c r="S647" s="27" t="n">
        <v>6</v>
      </c>
      <c r="T647" s="27"/>
    </row>
    <row r="648" customFormat="false" ht="15" hidden="false" customHeight="false" outlineLevel="0" collapsed="false">
      <c r="A648" s="26" t="n">
        <v>46123</v>
      </c>
      <c r="B648" s="27" t="n">
        <v>2026</v>
      </c>
      <c r="C648" s="27" t="n">
        <v>4</v>
      </c>
      <c r="D648" s="27" t="s">
        <v>83</v>
      </c>
      <c r="E648" s="27" t="s">
        <v>91</v>
      </c>
      <c r="F648" s="27" t="s">
        <v>107</v>
      </c>
      <c r="G648" s="27" t="s">
        <v>116</v>
      </c>
      <c r="H648" s="28" t="n">
        <v>6</v>
      </c>
      <c r="I648" s="29" t="n">
        <v>620</v>
      </c>
      <c r="J648" s="29" t="n">
        <v>3720</v>
      </c>
      <c r="K648" s="29" t="n">
        <f aca="false">H648*I648</f>
        <v>3720</v>
      </c>
      <c r="L648" s="29" t="n">
        <f aca="false">IFERROR(INDEX(Cat_Productos!$B$2:$B$6,MATCH(G648,Cat_Productos!$A$2:$A$6,0)),"")</f>
        <v>290</v>
      </c>
      <c r="M648" s="29" t="n">
        <f aca="false">IF(L648="","",H648*L648)</f>
        <v>1740</v>
      </c>
      <c r="N648" s="29" t="n">
        <f aca="false">IF(M648="","",J648-M648)</f>
        <v>1980</v>
      </c>
      <c r="O648" s="30" t="n">
        <f aca="false">IFERROR(N648/J648,0)</f>
        <v>0.532258064516129</v>
      </c>
      <c r="P648" s="27"/>
      <c r="Q648" s="27" t="s">
        <v>156</v>
      </c>
      <c r="R648" s="27" t="s">
        <v>91</v>
      </c>
      <c r="S648" s="27" t="n">
        <v>36</v>
      </c>
      <c r="T648" s="27"/>
    </row>
    <row r="649" customFormat="false" ht="15" hidden="false" customHeight="false" outlineLevel="0" collapsed="false">
      <c r="A649" s="26" t="n">
        <v>46123</v>
      </c>
      <c r="B649" s="27" t="n">
        <v>2026</v>
      </c>
      <c r="C649" s="27" t="n">
        <v>4</v>
      </c>
      <c r="D649" s="27" t="s">
        <v>83</v>
      </c>
      <c r="E649" s="27" t="s">
        <v>91</v>
      </c>
      <c r="F649" s="27" t="s">
        <v>103</v>
      </c>
      <c r="G649" s="27" t="s">
        <v>117</v>
      </c>
      <c r="H649" s="28" t="n">
        <v>6</v>
      </c>
      <c r="I649" s="29" t="n">
        <v>1450</v>
      </c>
      <c r="J649" s="29" t="n">
        <v>8700</v>
      </c>
      <c r="K649" s="29" t="n">
        <f aca="false">H649*I649</f>
        <v>8700</v>
      </c>
      <c r="L649" s="29" t="n">
        <f aca="false">IFERROR(INDEX(Cat_Productos!$B$2:$B$6,MATCH(G649,Cat_Productos!$A$2:$A$6,0)),"")</f>
        <v>780</v>
      </c>
      <c r="M649" s="29" t="n">
        <f aca="false">IF(L649="","",H649*L649)</f>
        <v>4680</v>
      </c>
      <c r="N649" s="29" t="n">
        <f aca="false">IF(M649="","",J649-M649)</f>
        <v>4020</v>
      </c>
      <c r="O649" s="30" t="n">
        <f aca="false">IFERROR(N649/J649,0)</f>
        <v>0.462068965517241</v>
      </c>
      <c r="P649" s="27"/>
      <c r="Q649" s="27" t="s">
        <v>156</v>
      </c>
      <c r="R649" s="27" t="s">
        <v>91</v>
      </c>
      <c r="S649" s="27" t="n">
        <v>51</v>
      </c>
      <c r="T649" s="27"/>
    </row>
    <row r="650" customFormat="false" ht="15" hidden="false" customHeight="false" outlineLevel="0" collapsed="false">
      <c r="A650" s="26" t="n">
        <v>46123</v>
      </c>
      <c r="B650" s="27" t="n">
        <v>2026</v>
      </c>
      <c r="C650" s="27" t="n">
        <v>4</v>
      </c>
      <c r="D650" s="27" t="s">
        <v>83</v>
      </c>
      <c r="E650" s="27" t="s">
        <v>91</v>
      </c>
      <c r="F650" s="27" t="s">
        <v>107</v>
      </c>
      <c r="G650" s="27" t="s">
        <v>116</v>
      </c>
      <c r="H650" s="28" t="n">
        <v>6</v>
      </c>
      <c r="I650" s="29" t="n">
        <v>620</v>
      </c>
      <c r="J650" s="29" t="n">
        <v>3720</v>
      </c>
      <c r="K650" s="29" t="n">
        <f aca="false">H650*I650</f>
        <v>3720</v>
      </c>
      <c r="L650" s="29" t="n">
        <f aca="false">IFERROR(INDEX(Cat_Productos!$B$2:$B$6,MATCH(G650,Cat_Productos!$A$2:$A$6,0)),"")</f>
        <v>290</v>
      </c>
      <c r="M650" s="29" t="n">
        <f aca="false">IF(L650="","",H650*L650)</f>
        <v>1740</v>
      </c>
      <c r="N650" s="29" t="n">
        <f aca="false">IF(M650="","",J650-M650)</f>
        <v>1980</v>
      </c>
      <c r="O650" s="30" t="n">
        <f aca="false">IFERROR(N650/J650,0)</f>
        <v>0.532258064516129</v>
      </c>
      <c r="P650" s="27"/>
      <c r="Q650" s="27" t="s">
        <v>156</v>
      </c>
      <c r="R650" s="27" t="s">
        <v>91</v>
      </c>
      <c r="S650" s="27" t="n">
        <v>28</v>
      </c>
      <c r="T650" s="27"/>
    </row>
    <row r="651" customFormat="false" ht="15" hidden="false" customHeight="false" outlineLevel="0" collapsed="false">
      <c r="A651" s="26" t="n">
        <v>46123</v>
      </c>
      <c r="B651" s="27" t="n">
        <v>2026</v>
      </c>
      <c r="C651" s="27" t="n">
        <v>4</v>
      </c>
      <c r="D651" s="27" t="s">
        <v>83</v>
      </c>
      <c r="E651" s="27" t="s">
        <v>92</v>
      </c>
      <c r="F651" s="27" t="s">
        <v>106</v>
      </c>
      <c r="G651" s="27" t="s">
        <v>116</v>
      </c>
      <c r="H651" s="28" t="n">
        <v>2</v>
      </c>
      <c r="I651" s="29" t="n">
        <v>620</v>
      </c>
      <c r="J651" s="29" t="n">
        <v>1240</v>
      </c>
      <c r="K651" s="29" t="n">
        <f aca="false">H651*I651</f>
        <v>1240</v>
      </c>
      <c r="L651" s="29" t="n">
        <f aca="false">IFERROR(INDEX(Cat_Productos!$B$2:$B$6,MATCH(G651,Cat_Productos!$A$2:$A$6,0)),"")</f>
        <v>290</v>
      </c>
      <c r="M651" s="29" t="n">
        <f aca="false">IF(L651="","",H651*L651)</f>
        <v>580</v>
      </c>
      <c r="N651" s="29" t="n">
        <f aca="false">IF(M651="","",J651-M651)</f>
        <v>660</v>
      </c>
      <c r="O651" s="30" t="n">
        <f aca="false">IFERROR(N651/J651,0)</f>
        <v>0.532258064516129</v>
      </c>
      <c r="P651" s="27"/>
      <c r="Q651" s="27" t="s">
        <v>156</v>
      </c>
      <c r="R651" s="27" t="s">
        <v>157</v>
      </c>
      <c r="S651" s="27" t="n">
        <v>55</v>
      </c>
      <c r="T651" s="27"/>
    </row>
    <row r="652" customFormat="false" ht="15" hidden="false" customHeight="false" outlineLevel="0" collapsed="false">
      <c r="A652" s="26" t="n">
        <v>46123</v>
      </c>
      <c r="B652" s="27" t="n">
        <v>2026</v>
      </c>
      <c r="C652" s="27" t="n">
        <v>4</v>
      </c>
      <c r="D652" s="27" t="s">
        <v>83</v>
      </c>
      <c r="E652" s="27" t="s">
        <v>91</v>
      </c>
      <c r="F652" s="27" t="s">
        <v>107</v>
      </c>
      <c r="G652" s="27" t="s">
        <v>116</v>
      </c>
      <c r="H652" s="28" t="n">
        <v>6</v>
      </c>
      <c r="I652" s="29" t="n">
        <v>620</v>
      </c>
      <c r="J652" s="29" t="n">
        <v>3720</v>
      </c>
      <c r="K652" s="29" t="n">
        <f aca="false">H652*I652</f>
        <v>3720</v>
      </c>
      <c r="L652" s="29" t="n">
        <f aca="false">IFERROR(INDEX(Cat_Productos!$B$2:$B$6,MATCH(G652,Cat_Productos!$A$2:$A$6,0)),"")</f>
        <v>290</v>
      </c>
      <c r="M652" s="29" t="n">
        <f aca="false">IF(L652="","",H652*L652)</f>
        <v>1740</v>
      </c>
      <c r="N652" s="29" t="n">
        <f aca="false">IF(M652="","",J652-M652)</f>
        <v>1980</v>
      </c>
      <c r="O652" s="30" t="n">
        <f aca="false">IFERROR(N652/J652,0)</f>
        <v>0.532258064516129</v>
      </c>
      <c r="P652" s="27"/>
      <c r="Q652" s="27" t="s">
        <v>156</v>
      </c>
      <c r="R652" s="27" t="s">
        <v>91</v>
      </c>
      <c r="S652" s="27" t="n">
        <v>34</v>
      </c>
      <c r="T652" s="27"/>
    </row>
    <row r="653" customFormat="false" ht="15" hidden="false" customHeight="false" outlineLevel="0" collapsed="false">
      <c r="A653" s="26" t="n">
        <v>46124</v>
      </c>
      <c r="B653" s="27" t="n">
        <v>2026</v>
      </c>
      <c r="C653" s="27" t="n">
        <v>4</v>
      </c>
      <c r="D653" s="27" t="s">
        <v>83</v>
      </c>
      <c r="E653" s="27" t="s">
        <v>93</v>
      </c>
      <c r="F653" s="27" t="s">
        <v>108</v>
      </c>
      <c r="G653" s="27" t="s">
        <v>115</v>
      </c>
      <c r="H653" s="28" t="n">
        <v>1</v>
      </c>
      <c r="I653" s="29" t="n">
        <v>6200</v>
      </c>
      <c r="J653" s="29" t="n">
        <v>6200</v>
      </c>
      <c r="K653" s="29" t="n">
        <f aca="false">H653*I653</f>
        <v>6200</v>
      </c>
      <c r="L653" s="29" t="n">
        <f aca="false">IFERROR(INDEX(Cat_Productos!$B$2:$B$6,MATCH(G653,Cat_Productos!$A$2:$A$6,0)),"")</f>
        <v>4100</v>
      </c>
      <c r="M653" s="29" t="n">
        <f aca="false">IF(L653="","",H653*L653)</f>
        <v>4100</v>
      </c>
      <c r="N653" s="29" t="n">
        <f aca="false">IF(M653="","",J653-M653)</f>
        <v>2100</v>
      </c>
      <c r="O653" s="30" t="n">
        <f aca="false">IFERROR(N653/J653,0)</f>
        <v>0.338709677419355</v>
      </c>
      <c r="P653" s="27"/>
      <c r="Q653" s="27" t="s">
        <v>156</v>
      </c>
      <c r="R653" s="27" t="s">
        <v>158</v>
      </c>
      <c r="S653" s="27" t="n">
        <v>15</v>
      </c>
      <c r="T653" s="27"/>
    </row>
    <row r="654" customFormat="false" ht="15" hidden="false" customHeight="false" outlineLevel="0" collapsed="false">
      <c r="A654" s="26" t="n">
        <v>46125</v>
      </c>
      <c r="B654" s="27" t="n">
        <v>2026</v>
      </c>
      <c r="C654" s="27" t="n">
        <v>4</v>
      </c>
      <c r="D654" s="27" t="s">
        <v>83</v>
      </c>
      <c r="E654" s="27" t="s">
        <v>91</v>
      </c>
      <c r="F654" s="27" t="s">
        <v>107</v>
      </c>
      <c r="G654" s="27" t="s">
        <v>116</v>
      </c>
      <c r="H654" s="28" t="n">
        <v>4</v>
      </c>
      <c r="I654" s="29" t="n">
        <v>620</v>
      </c>
      <c r="J654" s="29" t="n">
        <v>2480</v>
      </c>
      <c r="K654" s="29" t="n">
        <f aca="false">H654*I654</f>
        <v>2480</v>
      </c>
      <c r="L654" s="29" t="n">
        <f aca="false">IFERROR(INDEX(Cat_Productos!$B$2:$B$6,MATCH(G654,Cat_Productos!$A$2:$A$6,0)),"")</f>
        <v>290</v>
      </c>
      <c r="M654" s="29" t="n">
        <f aca="false">IF(L654="","",H654*L654)</f>
        <v>1160</v>
      </c>
      <c r="N654" s="29" t="n">
        <f aca="false">IF(M654="","",J654-M654)</f>
        <v>1320</v>
      </c>
      <c r="O654" s="30" t="n">
        <f aca="false">IFERROR(N654/J654,0)</f>
        <v>0.532258064516129</v>
      </c>
      <c r="P654" s="27"/>
      <c r="Q654" s="27" t="s">
        <v>156</v>
      </c>
      <c r="R654" s="27" t="s">
        <v>91</v>
      </c>
      <c r="S654" s="27" t="n">
        <v>39</v>
      </c>
      <c r="T654" s="27"/>
    </row>
    <row r="655" customFormat="false" ht="15" hidden="false" customHeight="false" outlineLevel="0" collapsed="false">
      <c r="A655" s="26" t="n">
        <v>46125</v>
      </c>
      <c r="B655" s="27" t="n">
        <v>2026</v>
      </c>
      <c r="C655" s="27" t="n">
        <v>4</v>
      </c>
      <c r="D655" s="27" t="s">
        <v>83</v>
      </c>
      <c r="E655" s="27" t="s">
        <v>91</v>
      </c>
      <c r="F655" s="27" t="s">
        <v>107</v>
      </c>
      <c r="G655" s="27" t="s">
        <v>117</v>
      </c>
      <c r="H655" s="28" t="n">
        <v>6</v>
      </c>
      <c r="I655" s="29" t="n">
        <v>1450</v>
      </c>
      <c r="J655" s="29" t="n">
        <v>8700</v>
      </c>
      <c r="K655" s="29" t="n">
        <f aca="false">H655*I655</f>
        <v>8700</v>
      </c>
      <c r="L655" s="29" t="n">
        <f aca="false">IFERROR(INDEX(Cat_Productos!$B$2:$B$6,MATCH(G655,Cat_Productos!$A$2:$A$6,0)),"")</f>
        <v>780</v>
      </c>
      <c r="M655" s="29" t="n">
        <f aca="false">IF(L655="","",H655*L655)</f>
        <v>4680</v>
      </c>
      <c r="N655" s="29" t="n">
        <f aca="false">IF(M655="","",J655-M655)</f>
        <v>4020</v>
      </c>
      <c r="O655" s="30" t="n">
        <f aca="false">IFERROR(N655/J655,0)</f>
        <v>0.462068965517241</v>
      </c>
      <c r="P655" s="27"/>
      <c r="Q655" s="27" t="s">
        <v>156</v>
      </c>
      <c r="R655" s="27" t="s">
        <v>91</v>
      </c>
      <c r="S655" s="27" t="n">
        <v>21</v>
      </c>
      <c r="T655" s="27"/>
    </row>
    <row r="656" customFormat="false" ht="15" hidden="false" customHeight="false" outlineLevel="0" collapsed="false">
      <c r="A656" s="26" t="n">
        <v>46125</v>
      </c>
      <c r="B656" s="27" t="n">
        <v>2026</v>
      </c>
      <c r="C656" s="27" t="n">
        <v>4</v>
      </c>
      <c r="D656" s="27" t="s">
        <v>83</v>
      </c>
      <c r="E656" s="27" t="s">
        <v>92</v>
      </c>
      <c r="F656" s="27" t="s">
        <v>106</v>
      </c>
      <c r="G656" s="27" t="s">
        <v>116</v>
      </c>
      <c r="H656" s="28" t="n">
        <v>4</v>
      </c>
      <c r="I656" s="29" t="n">
        <v>620</v>
      </c>
      <c r="J656" s="29" t="n">
        <v>2480</v>
      </c>
      <c r="K656" s="29" t="n">
        <f aca="false">H656*I656</f>
        <v>2480</v>
      </c>
      <c r="L656" s="29" t="n">
        <f aca="false">IFERROR(INDEX(Cat_Productos!$B$2:$B$6,MATCH(G656,Cat_Productos!$A$2:$A$6,0)),"")</f>
        <v>290</v>
      </c>
      <c r="M656" s="29" t="n">
        <f aca="false">IF(L656="","",H656*L656)</f>
        <v>1160</v>
      </c>
      <c r="N656" s="29" t="n">
        <f aca="false">IF(M656="","",J656-M656)</f>
        <v>1320</v>
      </c>
      <c r="O656" s="30" t="n">
        <f aca="false">IFERROR(N656/J656,0)</f>
        <v>0.532258064516129</v>
      </c>
      <c r="P656" s="27"/>
      <c r="Q656" s="27" t="s">
        <v>156</v>
      </c>
      <c r="R656" s="27" t="s">
        <v>157</v>
      </c>
      <c r="S656" s="27" t="n">
        <v>46</v>
      </c>
      <c r="T656" s="27"/>
    </row>
    <row r="657" customFormat="false" ht="15" hidden="false" customHeight="false" outlineLevel="0" collapsed="false">
      <c r="A657" s="26" t="n">
        <v>46125</v>
      </c>
      <c r="B657" s="27" t="n">
        <v>2026</v>
      </c>
      <c r="C657" s="27" t="n">
        <v>4</v>
      </c>
      <c r="D657" s="27" t="s">
        <v>83</v>
      </c>
      <c r="E657" s="27" t="s">
        <v>91</v>
      </c>
      <c r="F657" s="27" t="s">
        <v>107</v>
      </c>
      <c r="G657" s="27" t="s">
        <v>116</v>
      </c>
      <c r="H657" s="28" t="n">
        <v>6</v>
      </c>
      <c r="I657" s="29" t="n">
        <v>620</v>
      </c>
      <c r="J657" s="29" t="n">
        <v>3720</v>
      </c>
      <c r="K657" s="29" t="n">
        <f aca="false">H657*I657</f>
        <v>3720</v>
      </c>
      <c r="L657" s="29" t="n">
        <f aca="false">IFERROR(INDEX(Cat_Productos!$B$2:$B$6,MATCH(G657,Cat_Productos!$A$2:$A$6,0)),"")</f>
        <v>290</v>
      </c>
      <c r="M657" s="29" t="n">
        <f aca="false">IF(L657="","",H657*L657)</f>
        <v>1740</v>
      </c>
      <c r="N657" s="29" t="n">
        <f aca="false">IF(M657="","",J657-M657)</f>
        <v>1980</v>
      </c>
      <c r="O657" s="30" t="n">
        <f aca="false">IFERROR(N657/J657,0)</f>
        <v>0.532258064516129</v>
      </c>
      <c r="P657" s="27"/>
      <c r="Q657" s="27" t="s">
        <v>156</v>
      </c>
      <c r="R657" s="27" t="s">
        <v>91</v>
      </c>
      <c r="S657" s="27" t="n">
        <v>35</v>
      </c>
      <c r="T657" s="27"/>
    </row>
    <row r="658" customFormat="false" ht="15" hidden="false" customHeight="false" outlineLevel="0" collapsed="false">
      <c r="A658" s="26" t="n">
        <v>46125</v>
      </c>
      <c r="B658" s="27" t="n">
        <v>2026</v>
      </c>
      <c r="C658" s="27" t="n">
        <v>4</v>
      </c>
      <c r="D658" s="27" t="s">
        <v>83</v>
      </c>
      <c r="E658" s="27" t="s">
        <v>92</v>
      </c>
      <c r="F658" s="27" t="s">
        <v>106</v>
      </c>
      <c r="G658" s="27" t="s">
        <v>117</v>
      </c>
      <c r="H658" s="28" t="n">
        <v>2</v>
      </c>
      <c r="I658" s="29" t="n">
        <v>1450</v>
      </c>
      <c r="J658" s="29" t="n">
        <v>2900</v>
      </c>
      <c r="K658" s="29" t="n">
        <f aca="false">H658*I658</f>
        <v>2900</v>
      </c>
      <c r="L658" s="29" t="n">
        <f aca="false">IFERROR(INDEX(Cat_Productos!$B$2:$B$6,MATCH(G658,Cat_Productos!$A$2:$A$6,0)),"")</f>
        <v>780</v>
      </c>
      <c r="M658" s="29" t="n">
        <f aca="false">IF(L658="","",H658*L658)</f>
        <v>1560</v>
      </c>
      <c r="N658" s="29" t="n">
        <f aca="false">IF(M658="","",J658-M658)</f>
        <v>1340</v>
      </c>
      <c r="O658" s="30" t="n">
        <f aca="false">IFERROR(N658/J658,0)</f>
        <v>0.462068965517241</v>
      </c>
      <c r="P658" s="27"/>
      <c r="Q658" s="27" t="s">
        <v>156</v>
      </c>
      <c r="R658" s="27" t="s">
        <v>157</v>
      </c>
      <c r="S658" s="27" t="n">
        <v>38</v>
      </c>
      <c r="T658" s="27"/>
    </row>
    <row r="659" customFormat="false" ht="15" hidden="false" customHeight="false" outlineLevel="0" collapsed="false">
      <c r="A659" s="26" t="n">
        <v>46125</v>
      </c>
      <c r="B659" s="27" t="n">
        <v>2026</v>
      </c>
      <c r="C659" s="27" t="n">
        <v>4</v>
      </c>
      <c r="D659" s="27" t="s">
        <v>83</v>
      </c>
      <c r="E659" s="27" t="s">
        <v>91</v>
      </c>
      <c r="F659" s="27" t="s">
        <v>103</v>
      </c>
      <c r="G659" s="27" t="s">
        <v>116</v>
      </c>
      <c r="H659" s="28" t="n">
        <v>6</v>
      </c>
      <c r="I659" s="29" t="n">
        <v>620</v>
      </c>
      <c r="J659" s="29" t="n">
        <v>3720</v>
      </c>
      <c r="K659" s="29" t="n">
        <f aca="false">H659*I659</f>
        <v>3720</v>
      </c>
      <c r="L659" s="29" t="n">
        <f aca="false">IFERROR(INDEX(Cat_Productos!$B$2:$B$6,MATCH(G659,Cat_Productos!$A$2:$A$6,0)),"")</f>
        <v>290</v>
      </c>
      <c r="M659" s="29" t="n">
        <f aca="false">IF(L659="","",H659*L659)</f>
        <v>1740</v>
      </c>
      <c r="N659" s="29" t="n">
        <f aca="false">IF(M659="","",J659-M659)</f>
        <v>1980</v>
      </c>
      <c r="O659" s="30" t="n">
        <f aca="false">IFERROR(N659/J659,0)</f>
        <v>0.532258064516129</v>
      </c>
      <c r="P659" s="27"/>
      <c r="Q659" s="27" t="s">
        <v>156</v>
      </c>
      <c r="R659" s="27" t="s">
        <v>91</v>
      </c>
      <c r="S659" s="27" t="n">
        <v>80</v>
      </c>
      <c r="T659" s="27"/>
    </row>
    <row r="660" customFormat="false" ht="15" hidden="false" customHeight="false" outlineLevel="0" collapsed="false">
      <c r="A660" s="26" t="n">
        <v>46125</v>
      </c>
      <c r="B660" s="27" t="n">
        <v>2026</v>
      </c>
      <c r="C660" s="27" t="n">
        <v>4</v>
      </c>
      <c r="D660" s="27" t="s">
        <v>83</v>
      </c>
      <c r="E660" s="27" t="s">
        <v>91</v>
      </c>
      <c r="F660" s="27" t="s">
        <v>107</v>
      </c>
      <c r="G660" s="27" t="s">
        <v>117</v>
      </c>
      <c r="H660" s="28" t="n">
        <v>4</v>
      </c>
      <c r="I660" s="29" t="n">
        <v>1450</v>
      </c>
      <c r="J660" s="29" t="n">
        <v>5800</v>
      </c>
      <c r="K660" s="29" t="n">
        <f aca="false">H660*I660</f>
        <v>5800</v>
      </c>
      <c r="L660" s="29" t="n">
        <f aca="false">IFERROR(INDEX(Cat_Productos!$B$2:$B$6,MATCH(G660,Cat_Productos!$A$2:$A$6,0)),"")</f>
        <v>780</v>
      </c>
      <c r="M660" s="29" t="n">
        <f aca="false">IF(L660="","",H660*L660)</f>
        <v>3120</v>
      </c>
      <c r="N660" s="29" t="n">
        <f aca="false">IF(M660="","",J660-M660)</f>
        <v>2680</v>
      </c>
      <c r="O660" s="30" t="n">
        <f aca="false">IFERROR(N660/J660,0)</f>
        <v>0.462068965517241</v>
      </c>
      <c r="P660" s="27"/>
      <c r="Q660" s="27" t="s">
        <v>156</v>
      </c>
      <c r="R660" s="27" t="s">
        <v>91</v>
      </c>
      <c r="S660" s="27" t="n">
        <v>11</v>
      </c>
      <c r="T660" s="27"/>
    </row>
    <row r="661" customFormat="false" ht="15" hidden="false" customHeight="false" outlineLevel="0" collapsed="false">
      <c r="A661" s="26" t="n">
        <v>46125</v>
      </c>
      <c r="B661" s="27" t="n">
        <v>2026</v>
      </c>
      <c r="C661" s="27" t="n">
        <v>4</v>
      </c>
      <c r="D661" s="27" t="s">
        <v>83</v>
      </c>
      <c r="E661" s="27" t="s">
        <v>91</v>
      </c>
      <c r="F661" s="27" t="s">
        <v>107</v>
      </c>
      <c r="G661" s="27" t="s">
        <v>116</v>
      </c>
      <c r="H661" s="28" t="n">
        <v>2</v>
      </c>
      <c r="I661" s="29" t="n">
        <v>620</v>
      </c>
      <c r="J661" s="29" t="n">
        <v>1240</v>
      </c>
      <c r="K661" s="29" t="n">
        <f aca="false">H661*I661</f>
        <v>1240</v>
      </c>
      <c r="L661" s="29" t="n">
        <f aca="false">IFERROR(INDEX(Cat_Productos!$B$2:$B$6,MATCH(G661,Cat_Productos!$A$2:$A$6,0)),"")</f>
        <v>290</v>
      </c>
      <c r="M661" s="29" t="n">
        <f aca="false">IF(L661="","",H661*L661)</f>
        <v>580</v>
      </c>
      <c r="N661" s="29" t="n">
        <f aca="false">IF(M661="","",J661-M661)</f>
        <v>660</v>
      </c>
      <c r="O661" s="30" t="n">
        <f aca="false">IFERROR(N661/J661,0)</f>
        <v>0.532258064516129</v>
      </c>
      <c r="P661" s="27"/>
      <c r="Q661" s="27" t="s">
        <v>156</v>
      </c>
      <c r="R661" s="27" t="s">
        <v>91</v>
      </c>
      <c r="S661" s="27" t="n">
        <v>27</v>
      </c>
      <c r="T661" s="27"/>
    </row>
    <row r="662" customFormat="false" ht="15" hidden="false" customHeight="false" outlineLevel="0" collapsed="false">
      <c r="A662" s="26" t="n">
        <v>46125</v>
      </c>
      <c r="B662" s="27" t="n">
        <v>2026</v>
      </c>
      <c r="C662" s="27" t="n">
        <v>4</v>
      </c>
      <c r="D662" s="27" t="s">
        <v>83</v>
      </c>
      <c r="E662" s="27" t="s">
        <v>91</v>
      </c>
      <c r="F662" s="27" t="s">
        <v>103</v>
      </c>
      <c r="G662" s="27" t="s">
        <v>116</v>
      </c>
      <c r="H662" s="28" t="n">
        <v>6</v>
      </c>
      <c r="I662" s="29" t="n">
        <v>620</v>
      </c>
      <c r="J662" s="29" t="n">
        <v>3720</v>
      </c>
      <c r="K662" s="29" t="n">
        <f aca="false">H662*I662</f>
        <v>3720</v>
      </c>
      <c r="L662" s="29" t="n">
        <f aca="false">IFERROR(INDEX(Cat_Productos!$B$2:$B$6,MATCH(G662,Cat_Productos!$A$2:$A$6,0)),"")</f>
        <v>290</v>
      </c>
      <c r="M662" s="29" t="n">
        <f aca="false">IF(L662="","",H662*L662)</f>
        <v>1740</v>
      </c>
      <c r="N662" s="29" t="n">
        <f aca="false">IF(M662="","",J662-M662)</f>
        <v>1980</v>
      </c>
      <c r="O662" s="30" t="n">
        <f aca="false">IFERROR(N662/J662,0)</f>
        <v>0.532258064516129</v>
      </c>
      <c r="P662" s="27"/>
      <c r="Q662" s="27" t="s">
        <v>156</v>
      </c>
      <c r="R662" s="27" t="s">
        <v>91</v>
      </c>
      <c r="S662" s="27" t="n">
        <v>94</v>
      </c>
      <c r="T662" s="27"/>
    </row>
    <row r="663" customFormat="false" ht="15" hidden="false" customHeight="false" outlineLevel="0" collapsed="false">
      <c r="A663" s="26" t="n">
        <v>46125</v>
      </c>
      <c r="B663" s="27" t="n">
        <v>2026</v>
      </c>
      <c r="C663" s="27" t="n">
        <v>4</v>
      </c>
      <c r="D663" s="27" t="s">
        <v>83</v>
      </c>
      <c r="E663" s="27" t="s">
        <v>91</v>
      </c>
      <c r="F663" s="27" t="s">
        <v>103</v>
      </c>
      <c r="G663" s="27" t="s">
        <v>117</v>
      </c>
      <c r="H663" s="28" t="n">
        <v>6</v>
      </c>
      <c r="I663" s="29" t="n">
        <v>1450</v>
      </c>
      <c r="J663" s="29" t="n">
        <v>8700</v>
      </c>
      <c r="K663" s="29" t="n">
        <f aca="false">H663*I663</f>
        <v>8700</v>
      </c>
      <c r="L663" s="29" t="n">
        <f aca="false">IFERROR(INDEX(Cat_Productos!$B$2:$B$6,MATCH(G663,Cat_Productos!$A$2:$A$6,0)),"")</f>
        <v>780</v>
      </c>
      <c r="M663" s="29" t="n">
        <f aca="false">IF(L663="","",H663*L663)</f>
        <v>4680</v>
      </c>
      <c r="N663" s="29" t="n">
        <f aca="false">IF(M663="","",J663-M663)</f>
        <v>4020</v>
      </c>
      <c r="O663" s="30" t="n">
        <f aca="false">IFERROR(N663/J663,0)</f>
        <v>0.462068965517241</v>
      </c>
      <c r="P663" s="27"/>
      <c r="Q663" s="27" t="s">
        <v>156</v>
      </c>
      <c r="R663" s="27" t="s">
        <v>91</v>
      </c>
      <c r="S663" s="27" t="n">
        <v>64</v>
      </c>
      <c r="T663" s="27"/>
    </row>
    <row r="664" customFormat="false" ht="15" hidden="false" customHeight="false" outlineLevel="0" collapsed="false">
      <c r="A664" s="26" t="n">
        <v>46125</v>
      </c>
      <c r="B664" s="27" t="n">
        <v>2026</v>
      </c>
      <c r="C664" s="27" t="n">
        <v>4</v>
      </c>
      <c r="D664" s="27" t="s">
        <v>83</v>
      </c>
      <c r="E664" s="27" t="s">
        <v>93</v>
      </c>
      <c r="F664" s="27" t="s">
        <v>104</v>
      </c>
      <c r="G664" s="27" t="s">
        <v>116</v>
      </c>
      <c r="H664" s="28" t="n">
        <v>2</v>
      </c>
      <c r="I664" s="29" t="n">
        <v>620</v>
      </c>
      <c r="J664" s="29" t="n">
        <v>1240</v>
      </c>
      <c r="K664" s="29" t="n">
        <f aca="false">H664*I664</f>
        <v>1240</v>
      </c>
      <c r="L664" s="29" t="n">
        <f aca="false">IFERROR(INDEX(Cat_Productos!$B$2:$B$6,MATCH(G664,Cat_Productos!$A$2:$A$6,0)),"")</f>
        <v>290</v>
      </c>
      <c r="M664" s="29" t="n">
        <f aca="false">IF(L664="","",H664*L664)</f>
        <v>580</v>
      </c>
      <c r="N664" s="29" t="n">
        <f aca="false">IF(M664="","",J664-M664)</f>
        <v>660</v>
      </c>
      <c r="O664" s="30" t="n">
        <f aca="false">IFERROR(N664/J664,0)</f>
        <v>0.532258064516129</v>
      </c>
      <c r="P664" s="27"/>
      <c r="Q664" s="27" t="s">
        <v>156</v>
      </c>
      <c r="R664" s="27" t="s">
        <v>158</v>
      </c>
      <c r="S664" s="27" t="n">
        <v>41</v>
      </c>
      <c r="T664" s="27"/>
    </row>
    <row r="665" customFormat="false" ht="15" hidden="false" customHeight="false" outlineLevel="0" collapsed="false">
      <c r="A665" s="26" t="n">
        <v>46126</v>
      </c>
      <c r="B665" s="27" t="n">
        <v>2026</v>
      </c>
      <c r="C665" s="27" t="n">
        <v>4</v>
      </c>
      <c r="D665" s="27" t="s">
        <v>83</v>
      </c>
      <c r="E665" s="27" t="s">
        <v>92</v>
      </c>
      <c r="F665" s="27" t="s">
        <v>105</v>
      </c>
      <c r="G665" s="27" t="s">
        <v>118</v>
      </c>
      <c r="H665" s="28" t="n">
        <v>5</v>
      </c>
      <c r="I665" s="29" t="n">
        <v>1180</v>
      </c>
      <c r="J665" s="29" t="n">
        <v>5900</v>
      </c>
      <c r="K665" s="29" t="n">
        <f aca="false">H665*I665</f>
        <v>5900</v>
      </c>
      <c r="L665" s="29" t="n">
        <f aca="false">IFERROR(INDEX(Cat_Productos!$B$2:$B$6,MATCH(G665,Cat_Productos!$A$2:$A$6,0)),"")</f>
        <v>590</v>
      </c>
      <c r="M665" s="29" t="n">
        <f aca="false">IF(L665="","",H665*L665)</f>
        <v>2950</v>
      </c>
      <c r="N665" s="29" t="n">
        <f aca="false">IF(M665="","",J665-M665)</f>
        <v>2950</v>
      </c>
      <c r="O665" s="30" t="n">
        <f aca="false">IFERROR(N665/J665,0)</f>
        <v>0.5</v>
      </c>
      <c r="P665" s="27"/>
      <c r="Q665" s="27" t="s">
        <v>156</v>
      </c>
      <c r="R665" s="27" t="s">
        <v>157</v>
      </c>
      <c r="S665" s="27" t="n">
        <v>25</v>
      </c>
      <c r="T665" s="27"/>
    </row>
    <row r="666" customFormat="false" ht="15" hidden="false" customHeight="false" outlineLevel="0" collapsed="false">
      <c r="A666" s="26" t="n">
        <v>46126</v>
      </c>
      <c r="B666" s="27" t="n">
        <v>2026</v>
      </c>
      <c r="C666" s="27" t="n">
        <v>4</v>
      </c>
      <c r="D666" s="27" t="s">
        <v>83</v>
      </c>
      <c r="E666" s="27" t="s">
        <v>93</v>
      </c>
      <c r="F666" s="27" t="s">
        <v>108</v>
      </c>
      <c r="G666" s="27" t="s">
        <v>118</v>
      </c>
      <c r="H666" s="28" t="n">
        <v>5</v>
      </c>
      <c r="I666" s="29" t="n">
        <v>1180</v>
      </c>
      <c r="J666" s="29" t="n">
        <v>5900</v>
      </c>
      <c r="K666" s="29" t="n">
        <f aca="false">H666*I666</f>
        <v>5900</v>
      </c>
      <c r="L666" s="29" t="n">
        <f aca="false">IFERROR(INDEX(Cat_Productos!$B$2:$B$6,MATCH(G666,Cat_Productos!$A$2:$A$6,0)),"")</f>
        <v>590</v>
      </c>
      <c r="M666" s="29" t="n">
        <f aca="false">IF(L666="","",H666*L666)</f>
        <v>2950</v>
      </c>
      <c r="N666" s="29" t="n">
        <f aca="false">IF(M666="","",J666-M666)</f>
        <v>2950</v>
      </c>
      <c r="O666" s="30" t="n">
        <f aca="false">IFERROR(N666/J666,0)</f>
        <v>0.5</v>
      </c>
      <c r="P666" s="27"/>
      <c r="Q666" s="27" t="s">
        <v>156</v>
      </c>
      <c r="R666" s="27" t="s">
        <v>158</v>
      </c>
      <c r="S666" s="27" t="n">
        <v>20</v>
      </c>
      <c r="T666" s="27"/>
    </row>
    <row r="667" customFormat="false" ht="15" hidden="false" customHeight="false" outlineLevel="0" collapsed="false">
      <c r="A667" s="26" t="n">
        <v>46126</v>
      </c>
      <c r="B667" s="27" t="n">
        <v>2026</v>
      </c>
      <c r="C667" s="27" t="n">
        <v>4</v>
      </c>
      <c r="D667" s="27" t="s">
        <v>83</v>
      </c>
      <c r="E667" s="27" t="s">
        <v>93</v>
      </c>
      <c r="F667" s="27" t="s">
        <v>108</v>
      </c>
      <c r="G667" s="27" t="s">
        <v>118</v>
      </c>
      <c r="H667" s="28" t="n">
        <v>3</v>
      </c>
      <c r="I667" s="29" t="n">
        <v>1180</v>
      </c>
      <c r="J667" s="29" t="n">
        <v>3540</v>
      </c>
      <c r="K667" s="29" t="n">
        <f aca="false">H667*I667</f>
        <v>3540</v>
      </c>
      <c r="L667" s="29" t="n">
        <f aca="false">IFERROR(INDEX(Cat_Productos!$B$2:$B$6,MATCH(G667,Cat_Productos!$A$2:$A$6,0)),"")</f>
        <v>590</v>
      </c>
      <c r="M667" s="29" t="n">
        <f aca="false">IF(L667="","",H667*L667)</f>
        <v>1770</v>
      </c>
      <c r="N667" s="29" t="n">
        <f aca="false">IF(M667="","",J667-M667)</f>
        <v>1770</v>
      </c>
      <c r="O667" s="30" t="n">
        <f aca="false">IFERROR(N667/J667,0)</f>
        <v>0.5</v>
      </c>
      <c r="P667" s="27"/>
      <c r="Q667" s="27" t="s">
        <v>156</v>
      </c>
      <c r="R667" s="27" t="s">
        <v>158</v>
      </c>
      <c r="S667" s="27" t="n">
        <v>22</v>
      </c>
      <c r="T667" s="27"/>
    </row>
    <row r="668" customFormat="false" ht="15" hidden="false" customHeight="false" outlineLevel="0" collapsed="false">
      <c r="A668" s="26" t="n">
        <v>46126</v>
      </c>
      <c r="B668" s="27" t="n">
        <v>2026</v>
      </c>
      <c r="C668" s="27" t="n">
        <v>4</v>
      </c>
      <c r="D668" s="27" t="s">
        <v>83</v>
      </c>
      <c r="E668" s="27" t="s">
        <v>92</v>
      </c>
      <c r="F668" s="27" t="s">
        <v>105</v>
      </c>
      <c r="G668" s="27" t="s">
        <v>118</v>
      </c>
      <c r="H668" s="28" t="n">
        <v>1</v>
      </c>
      <c r="I668" s="29" t="n">
        <v>1180</v>
      </c>
      <c r="J668" s="29" t="n">
        <v>1180</v>
      </c>
      <c r="K668" s="29" t="n">
        <f aca="false">H668*I668</f>
        <v>1180</v>
      </c>
      <c r="L668" s="29" t="n">
        <f aca="false">IFERROR(INDEX(Cat_Productos!$B$2:$B$6,MATCH(G668,Cat_Productos!$A$2:$A$6,0)),"")</f>
        <v>590</v>
      </c>
      <c r="M668" s="29" t="n">
        <f aca="false">IF(L668="","",H668*L668)</f>
        <v>590</v>
      </c>
      <c r="N668" s="29" t="n">
        <f aca="false">IF(M668="","",J668-M668)</f>
        <v>590</v>
      </c>
      <c r="O668" s="30" t="n">
        <f aca="false">IFERROR(N668/J668,0)</f>
        <v>0.5</v>
      </c>
      <c r="P668" s="27"/>
      <c r="Q668" s="27" t="s">
        <v>156</v>
      </c>
      <c r="R668" s="27" t="s">
        <v>157</v>
      </c>
      <c r="S668" s="27" t="n">
        <v>33</v>
      </c>
      <c r="T668" s="27"/>
    </row>
    <row r="669" customFormat="false" ht="15" hidden="false" customHeight="false" outlineLevel="0" collapsed="false">
      <c r="A669" s="26" t="n">
        <v>46127</v>
      </c>
      <c r="B669" s="27" t="n">
        <v>2026</v>
      </c>
      <c r="C669" s="27" t="n">
        <v>4</v>
      </c>
      <c r="D669" s="27" t="s">
        <v>83</v>
      </c>
      <c r="E669" s="27" t="s">
        <v>91</v>
      </c>
      <c r="F669" s="27" t="s">
        <v>103</v>
      </c>
      <c r="G669" s="27" t="s">
        <v>114</v>
      </c>
      <c r="H669" s="28" t="n">
        <v>6</v>
      </c>
      <c r="I669" s="29" t="n">
        <v>24500</v>
      </c>
      <c r="J669" s="29" t="n">
        <v>147000</v>
      </c>
      <c r="K669" s="29" t="n">
        <f aca="false">H669*I669</f>
        <v>147000</v>
      </c>
      <c r="L669" s="29" t="n">
        <f aca="false">IFERROR(INDEX(Cat_Productos!$B$2:$B$6,MATCH(G669,Cat_Productos!$A$2:$A$6,0)),"")</f>
        <v>19200</v>
      </c>
      <c r="M669" s="29" t="n">
        <f aca="false">IF(L669="","",H669*L669)</f>
        <v>115200</v>
      </c>
      <c r="N669" s="29" t="n">
        <f aca="false">IF(M669="","",J669-M669)</f>
        <v>31800</v>
      </c>
      <c r="O669" s="30" t="n">
        <f aca="false">IFERROR(N669/J669,0)</f>
        <v>0.216326530612245</v>
      </c>
      <c r="P669" s="27"/>
      <c r="Q669" s="27" t="s">
        <v>156</v>
      </c>
      <c r="R669" s="27" t="s">
        <v>91</v>
      </c>
      <c r="S669" s="27" t="n">
        <v>41</v>
      </c>
      <c r="T669" s="27"/>
    </row>
    <row r="670" customFormat="false" ht="15" hidden="false" customHeight="false" outlineLevel="0" collapsed="false">
      <c r="A670" s="26" t="n">
        <v>46127</v>
      </c>
      <c r="B670" s="27" t="n">
        <v>2026</v>
      </c>
      <c r="C670" s="27" t="n">
        <v>4</v>
      </c>
      <c r="D670" s="27" t="s">
        <v>83</v>
      </c>
      <c r="E670" s="27" t="s">
        <v>91</v>
      </c>
      <c r="F670" s="27" t="s">
        <v>107</v>
      </c>
      <c r="G670" s="27" t="s">
        <v>117</v>
      </c>
      <c r="H670" s="28" t="n">
        <v>4</v>
      </c>
      <c r="I670" s="29" t="n">
        <v>1450</v>
      </c>
      <c r="J670" s="29" t="n">
        <v>5800</v>
      </c>
      <c r="K670" s="29" t="n">
        <f aca="false">H670*I670</f>
        <v>5800</v>
      </c>
      <c r="L670" s="29" t="n">
        <f aca="false">IFERROR(INDEX(Cat_Productos!$B$2:$B$6,MATCH(G670,Cat_Productos!$A$2:$A$6,0)),"")</f>
        <v>780</v>
      </c>
      <c r="M670" s="29" t="n">
        <f aca="false">IF(L670="","",H670*L670)</f>
        <v>3120</v>
      </c>
      <c r="N670" s="29" t="n">
        <f aca="false">IF(M670="","",J670-M670)</f>
        <v>2680</v>
      </c>
      <c r="O670" s="30" t="n">
        <f aca="false">IFERROR(N670/J670,0)</f>
        <v>0.462068965517241</v>
      </c>
      <c r="P670" s="27"/>
      <c r="Q670" s="27" t="s">
        <v>156</v>
      </c>
      <c r="R670" s="27" t="s">
        <v>91</v>
      </c>
      <c r="S670" s="27" t="n">
        <v>14</v>
      </c>
      <c r="T670" s="27"/>
    </row>
    <row r="671" customFormat="false" ht="15" hidden="false" customHeight="false" outlineLevel="0" collapsed="false">
      <c r="A671" s="26" t="n">
        <v>46127</v>
      </c>
      <c r="B671" s="27" t="n">
        <v>2026</v>
      </c>
      <c r="C671" s="27" t="n">
        <v>4</v>
      </c>
      <c r="D671" s="27" t="s">
        <v>83</v>
      </c>
      <c r="E671" s="27" t="s">
        <v>92</v>
      </c>
      <c r="F671" s="27" t="s">
        <v>106</v>
      </c>
      <c r="G671" s="27" t="s">
        <v>114</v>
      </c>
      <c r="H671" s="28" t="n">
        <v>4</v>
      </c>
      <c r="I671" s="29" t="n">
        <v>24500</v>
      </c>
      <c r="J671" s="29" t="n">
        <v>98000</v>
      </c>
      <c r="K671" s="29" t="n">
        <f aca="false">H671*I671</f>
        <v>98000</v>
      </c>
      <c r="L671" s="29" t="n">
        <f aca="false">IFERROR(INDEX(Cat_Productos!$B$2:$B$6,MATCH(G671,Cat_Productos!$A$2:$A$6,0)),"")</f>
        <v>19200</v>
      </c>
      <c r="M671" s="29" t="n">
        <f aca="false">IF(L671="","",H671*L671)</f>
        <v>76800</v>
      </c>
      <c r="N671" s="29" t="n">
        <f aca="false">IF(M671="","",J671-M671)</f>
        <v>21200</v>
      </c>
      <c r="O671" s="30" t="n">
        <f aca="false">IFERROR(N671/J671,0)</f>
        <v>0.216326530612245</v>
      </c>
      <c r="P671" s="27"/>
      <c r="Q671" s="27" t="s">
        <v>156</v>
      </c>
      <c r="R671" s="27" t="s">
        <v>157</v>
      </c>
      <c r="S671" s="27" t="n">
        <v>35</v>
      </c>
      <c r="T671" s="27"/>
    </row>
    <row r="672" customFormat="false" ht="15" hidden="false" customHeight="false" outlineLevel="0" collapsed="false">
      <c r="A672" s="26" t="n">
        <v>46127</v>
      </c>
      <c r="B672" s="27" t="n">
        <v>2026</v>
      </c>
      <c r="C672" s="27" t="n">
        <v>4</v>
      </c>
      <c r="D672" s="27" t="s">
        <v>83</v>
      </c>
      <c r="E672" s="27" t="s">
        <v>91</v>
      </c>
      <c r="F672" s="27" t="s">
        <v>107</v>
      </c>
      <c r="G672" s="27" t="s">
        <v>117</v>
      </c>
      <c r="H672" s="28" t="n">
        <v>6</v>
      </c>
      <c r="I672" s="29" t="n">
        <v>1450</v>
      </c>
      <c r="J672" s="29" t="n">
        <v>8700</v>
      </c>
      <c r="K672" s="29" t="n">
        <f aca="false">H672*I672</f>
        <v>8700</v>
      </c>
      <c r="L672" s="29" t="n">
        <f aca="false">IFERROR(INDEX(Cat_Productos!$B$2:$B$6,MATCH(G672,Cat_Productos!$A$2:$A$6,0)),"")</f>
        <v>780</v>
      </c>
      <c r="M672" s="29" t="n">
        <f aca="false">IF(L672="","",H672*L672)</f>
        <v>4680</v>
      </c>
      <c r="N672" s="29" t="n">
        <f aca="false">IF(M672="","",J672-M672)</f>
        <v>4020</v>
      </c>
      <c r="O672" s="30" t="n">
        <f aca="false">IFERROR(N672/J672,0)</f>
        <v>0.462068965517241</v>
      </c>
      <c r="P672" s="27"/>
      <c r="Q672" s="27" t="s">
        <v>156</v>
      </c>
      <c r="R672" s="27" t="s">
        <v>91</v>
      </c>
      <c r="S672" s="27" t="n">
        <v>18</v>
      </c>
      <c r="T672" s="27"/>
    </row>
    <row r="673" customFormat="false" ht="15" hidden="false" customHeight="false" outlineLevel="0" collapsed="false">
      <c r="A673" s="26" t="n">
        <v>46127</v>
      </c>
      <c r="B673" s="27" t="n">
        <v>2026</v>
      </c>
      <c r="C673" s="27" t="n">
        <v>4</v>
      </c>
      <c r="D673" s="27" t="s">
        <v>83</v>
      </c>
      <c r="E673" s="27" t="s">
        <v>91</v>
      </c>
      <c r="F673" s="27" t="s">
        <v>107</v>
      </c>
      <c r="G673" s="27" t="s">
        <v>116</v>
      </c>
      <c r="H673" s="28" t="n">
        <v>2</v>
      </c>
      <c r="I673" s="29" t="n">
        <v>620</v>
      </c>
      <c r="J673" s="29" t="n">
        <v>1240</v>
      </c>
      <c r="K673" s="29" t="n">
        <f aca="false">H673*I673</f>
        <v>1240</v>
      </c>
      <c r="L673" s="29" t="n">
        <f aca="false">IFERROR(INDEX(Cat_Productos!$B$2:$B$6,MATCH(G673,Cat_Productos!$A$2:$A$6,0)),"")</f>
        <v>290</v>
      </c>
      <c r="M673" s="29" t="n">
        <f aca="false">IF(L673="","",H673*L673)</f>
        <v>580</v>
      </c>
      <c r="N673" s="29" t="n">
        <f aca="false">IF(M673="","",J673-M673)</f>
        <v>660</v>
      </c>
      <c r="O673" s="30" t="n">
        <f aca="false">IFERROR(N673/J673,0)</f>
        <v>0.532258064516129</v>
      </c>
      <c r="P673" s="27"/>
      <c r="Q673" s="27" t="s">
        <v>156</v>
      </c>
      <c r="R673" s="27" t="s">
        <v>91</v>
      </c>
      <c r="S673" s="27" t="n">
        <v>40</v>
      </c>
      <c r="T673" s="27"/>
    </row>
    <row r="674" customFormat="false" ht="15" hidden="false" customHeight="false" outlineLevel="0" collapsed="false">
      <c r="A674" s="26" t="n">
        <v>46127</v>
      </c>
      <c r="B674" s="27" t="n">
        <v>2026</v>
      </c>
      <c r="C674" s="27" t="n">
        <v>4</v>
      </c>
      <c r="D674" s="27" t="s">
        <v>83</v>
      </c>
      <c r="E674" s="27" t="s">
        <v>93</v>
      </c>
      <c r="F674" s="27" t="s">
        <v>104</v>
      </c>
      <c r="G674" s="27" t="s">
        <v>114</v>
      </c>
      <c r="H674" s="28" t="n">
        <v>1</v>
      </c>
      <c r="I674" s="29" t="n">
        <v>24500</v>
      </c>
      <c r="J674" s="29" t="n">
        <v>24500</v>
      </c>
      <c r="K674" s="29" t="n">
        <f aca="false">H674*I674</f>
        <v>24500</v>
      </c>
      <c r="L674" s="29" t="n">
        <f aca="false">IFERROR(INDEX(Cat_Productos!$B$2:$B$6,MATCH(G674,Cat_Productos!$A$2:$A$6,0)),"")</f>
        <v>19200</v>
      </c>
      <c r="M674" s="29" t="n">
        <f aca="false">IF(L674="","",H674*L674)</f>
        <v>19200</v>
      </c>
      <c r="N674" s="29" t="n">
        <f aca="false">IF(M674="","",J674-M674)</f>
        <v>5300</v>
      </c>
      <c r="O674" s="30" t="n">
        <f aca="false">IFERROR(N674/J674,0)</f>
        <v>0.216326530612245</v>
      </c>
      <c r="P674" s="27"/>
      <c r="Q674" s="27" t="s">
        <v>156</v>
      </c>
      <c r="R674" s="27" t="s">
        <v>158</v>
      </c>
      <c r="S674" s="27" t="n">
        <v>24</v>
      </c>
      <c r="T674" s="27"/>
    </row>
    <row r="675" customFormat="false" ht="15" hidden="false" customHeight="false" outlineLevel="0" collapsed="false">
      <c r="A675" s="26" t="n">
        <v>46127</v>
      </c>
      <c r="B675" s="27" t="n">
        <v>2026</v>
      </c>
      <c r="C675" s="27" t="n">
        <v>4</v>
      </c>
      <c r="D675" s="27" t="s">
        <v>83</v>
      </c>
      <c r="E675" s="27" t="s">
        <v>93</v>
      </c>
      <c r="F675" s="27" t="s">
        <v>104</v>
      </c>
      <c r="G675" s="27" t="s">
        <v>117</v>
      </c>
      <c r="H675" s="28" t="n">
        <v>6</v>
      </c>
      <c r="I675" s="29" t="n">
        <v>1450</v>
      </c>
      <c r="J675" s="29" t="n">
        <v>8700</v>
      </c>
      <c r="K675" s="29" t="n">
        <f aca="false">H675*I675</f>
        <v>8700</v>
      </c>
      <c r="L675" s="29" t="n">
        <f aca="false">IFERROR(INDEX(Cat_Productos!$B$2:$B$6,MATCH(G675,Cat_Productos!$A$2:$A$6,0)),"")</f>
        <v>780</v>
      </c>
      <c r="M675" s="29" t="n">
        <f aca="false">IF(L675="","",H675*L675)</f>
        <v>4680</v>
      </c>
      <c r="N675" s="29" t="n">
        <f aca="false">IF(M675="","",J675-M675)</f>
        <v>4020</v>
      </c>
      <c r="O675" s="30" t="n">
        <f aca="false">IFERROR(N675/J675,0)</f>
        <v>0.462068965517241</v>
      </c>
      <c r="P675" s="27"/>
      <c r="Q675" s="27" t="s">
        <v>156</v>
      </c>
      <c r="R675" s="27" t="s">
        <v>158</v>
      </c>
      <c r="S675" s="27" t="n">
        <v>26</v>
      </c>
      <c r="T675" s="27"/>
    </row>
    <row r="676" customFormat="false" ht="15" hidden="false" customHeight="false" outlineLevel="0" collapsed="false">
      <c r="A676" s="26" t="n">
        <v>46127</v>
      </c>
      <c r="B676" s="27" t="n">
        <v>2026</v>
      </c>
      <c r="C676" s="27" t="n">
        <v>4</v>
      </c>
      <c r="D676" s="27" t="s">
        <v>83</v>
      </c>
      <c r="E676" s="27" t="s">
        <v>91</v>
      </c>
      <c r="F676" s="27" t="s">
        <v>103</v>
      </c>
      <c r="G676" s="27" t="s">
        <v>116</v>
      </c>
      <c r="H676" s="28" t="n">
        <v>2</v>
      </c>
      <c r="I676" s="29" t="n">
        <v>620</v>
      </c>
      <c r="J676" s="29" t="n">
        <v>1240</v>
      </c>
      <c r="K676" s="29" t="n">
        <f aca="false">H676*I676</f>
        <v>1240</v>
      </c>
      <c r="L676" s="29" t="n">
        <f aca="false">IFERROR(INDEX(Cat_Productos!$B$2:$B$6,MATCH(G676,Cat_Productos!$A$2:$A$6,0)),"")</f>
        <v>290</v>
      </c>
      <c r="M676" s="29" t="n">
        <f aca="false">IF(L676="","",H676*L676)</f>
        <v>580</v>
      </c>
      <c r="N676" s="29" t="n">
        <f aca="false">IF(M676="","",J676-M676)</f>
        <v>660</v>
      </c>
      <c r="O676" s="30" t="n">
        <f aca="false">IFERROR(N676/J676,0)</f>
        <v>0.532258064516129</v>
      </c>
      <c r="P676" s="27"/>
      <c r="Q676" s="27" t="s">
        <v>156</v>
      </c>
      <c r="R676" s="27" t="s">
        <v>91</v>
      </c>
      <c r="S676" s="27" t="n">
        <v>75</v>
      </c>
      <c r="T676" s="27"/>
    </row>
    <row r="677" customFormat="false" ht="15" hidden="false" customHeight="false" outlineLevel="0" collapsed="false">
      <c r="A677" s="26" t="n">
        <v>46127</v>
      </c>
      <c r="B677" s="27" t="n">
        <v>2026</v>
      </c>
      <c r="C677" s="27" t="n">
        <v>4</v>
      </c>
      <c r="D677" s="27" t="s">
        <v>83</v>
      </c>
      <c r="E677" s="27" t="s">
        <v>91</v>
      </c>
      <c r="F677" s="27" t="s">
        <v>103</v>
      </c>
      <c r="G677" s="27" t="s">
        <v>116</v>
      </c>
      <c r="H677" s="28" t="n">
        <v>6</v>
      </c>
      <c r="I677" s="29" t="n">
        <v>620</v>
      </c>
      <c r="J677" s="29" t="n">
        <v>3720</v>
      </c>
      <c r="K677" s="29" t="n">
        <f aca="false">H677*I677</f>
        <v>3720</v>
      </c>
      <c r="L677" s="29" t="n">
        <f aca="false">IFERROR(INDEX(Cat_Productos!$B$2:$B$6,MATCH(G677,Cat_Productos!$A$2:$A$6,0)),"")</f>
        <v>290</v>
      </c>
      <c r="M677" s="29" t="n">
        <f aca="false">IF(L677="","",H677*L677)</f>
        <v>1740</v>
      </c>
      <c r="N677" s="29" t="n">
        <f aca="false">IF(M677="","",J677-M677)</f>
        <v>1980</v>
      </c>
      <c r="O677" s="30" t="n">
        <f aca="false">IFERROR(N677/J677,0)</f>
        <v>0.532258064516129</v>
      </c>
      <c r="P677" s="27"/>
      <c r="Q677" s="27" t="s">
        <v>156</v>
      </c>
      <c r="R677" s="27" t="s">
        <v>91</v>
      </c>
      <c r="S677" s="27" t="n">
        <v>79</v>
      </c>
      <c r="T677" s="27"/>
    </row>
    <row r="678" customFormat="false" ht="15" hidden="false" customHeight="false" outlineLevel="0" collapsed="false">
      <c r="A678" s="26" t="n">
        <v>46127</v>
      </c>
      <c r="B678" s="27" t="n">
        <v>2026</v>
      </c>
      <c r="C678" s="27" t="n">
        <v>4</v>
      </c>
      <c r="D678" s="27" t="s">
        <v>83</v>
      </c>
      <c r="E678" s="27" t="s">
        <v>91</v>
      </c>
      <c r="F678" s="27" t="s">
        <v>103</v>
      </c>
      <c r="G678" s="27" t="s">
        <v>116</v>
      </c>
      <c r="H678" s="28" t="n">
        <v>4</v>
      </c>
      <c r="I678" s="29" t="n">
        <v>620</v>
      </c>
      <c r="J678" s="29" t="n">
        <v>2480</v>
      </c>
      <c r="K678" s="29" t="n">
        <f aca="false">H678*I678</f>
        <v>2480</v>
      </c>
      <c r="L678" s="29" t="n">
        <f aca="false">IFERROR(INDEX(Cat_Productos!$B$2:$B$6,MATCH(G678,Cat_Productos!$A$2:$A$6,0)),"")</f>
        <v>290</v>
      </c>
      <c r="M678" s="29" t="n">
        <f aca="false">IF(L678="","",H678*L678)</f>
        <v>1160</v>
      </c>
      <c r="N678" s="29" t="n">
        <f aca="false">IF(M678="","",J678-M678)</f>
        <v>1320</v>
      </c>
      <c r="O678" s="30" t="n">
        <f aca="false">IFERROR(N678/J678,0)</f>
        <v>0.532258064516129</v>
      </c>
      <c r="P678" s="27"/>
      <c r="Q678" s="27" t="s">
        <v>156</v>
      </c>
      <c r="R678" s="27" t="s">
        <v>91</v>
      </c>
      <c r="S678" s="27" t="n">
        <v>85</v>
      </c>
      <c r="T678" s="27"/>
    </row>
    <row r="679" customFormat="false" ht="15" hidden="false" customHeight="false" outlineLevel="0" collapsed="false">
      <c r="A679" s="26" t="n">
        <v>46127</v>
      </c>
      <c r="B679" s="27" t="n">
        <v>2026</v>
      </c>
      <c r="C679" s="27" t="n">
        <v>4</v>
      </c>
      <c r="D679" s="27" t="s">
        <v>83</v>
      </c>
      <c r="E679" s="27" t="s">
        <v>91</v>
      </c>
      <c r="F679" s="27" t="s">
        <v>103</v>
      </c>
      <c r="G679" s="27" t="s">
        <v>116</v>
      </c>
      <c r="H679" s="28" t="n">
        <v>2</v>
      </c>
      <c r="I679" s="29" t="n">
        <v>620</v>
      </c>
      <c r="J679" s="29" t="n">
        <v>1240</v>
      </c>
      <c r="K679" s="29" t="n">
        <f aca="false">H679*I679</f>
        <v>1240</v>
      </c>
      <c r="L679" s="29" t="n">
        <f aca="false">IFERROR(INDEX(Cat_Productos!$B$2:$B$6,MATCH(G679,Cat_Productos!$A$2:$A$6,0)),"")</f>
        <v>290</v>
      </c>
      <c r="M679" s="29" t="n">
        <f aca="false">IF(L679="","",H679*L679)</f>
        <v>580</v>
      </c>
      <c r="N679" s="29" t="n">
        <f aca="false">IF(M679="","",J679-M679)</f>
        <v>660</v>
      </c>
      <c r="O679" s="30" t="n">
        <f aca="false">IFERROR(N679/J679,0)</f>
        <v>0.532258064516129</v>
      </c>
      <c r="P679" s="27"/>
      <c r="Q679" s="27" t="s">
        <v>156</v>
      </c>
      <c r="R679" s="27" t="s">
        <v>91</v>
      </c>
      <c r="S679" s="27" t="n">
        <v>83</v>
      </c>
      <c r="T679" s="27"/>
    </row>
    <row r="680" customFormat="false" ht="15" hidden="false" customHeight="false" outlineLevel="0" collapsed="false">
      <c r="A680" s="26" t="n">
        <v>46128</v>
      </c>
      <c r="B680" s="27" t="n">
        <v>2026</v>
      </c>
      <c r="C680" s="27" t="n">
        <v>4</v>
      </c>
      <c r="D680" s="27" t="s">
        <v>83</v>
      </c>
      <c r="E680" s="27" t="s">
        <v>93</v>
      </c>
      <c r="F680" s="27" t="s">
        <v>108</v>
      </c>
      <c r="G680" s="27" t="s">
        <v>114</v>
      </c>
      <c r="H680" s="28" t="n">
        <v>3</v>
      </c>
      <c r="I680" s="29" t="n">
        <v>24500</v>
      </c>
      <c r="J680" s="29" t="n">
        <v>73500</v>
      </c>
      <c r="K680" s="29" t="n">
        <f aca="false">H680*I680</f>
        <v>73500</v>
      </c>
      <c r="L680" s="29" t="n">
        <f aca="false">IFERROR(INDEX(Cat_Productos!$B$2:$B$6,MATCH(G680,Cat_Productos!$A$2:$A$6,0)),"")</f>
        <v>19200</v>
      </c>
      <c r="M680" s="29" t="n">
        <f aca="false">IF(L680="","",H680*L680)</f>
        <v>57600</v>
      </c>
      <c r="N680" s="29" t="n">
        <f aca="false">IF(M680="","",J680-M680)</f>
        <v>15900</v>
      </c>
      <c r="O680" s="30" t="n">
        <f aca="false">IFERROR(N680/J680,0)</f>
        <v>0.216326530612245</v>
      </c>
      <c r="P680" s="27"/>
      <c r="Q680" s="27" t="s">
        <v>156</v>
      </c>
      <c r="R680" s="27" t="s">
        <v>158</v>
      </c>
      <c r="S680" s="27" t="n">
        <v>7</v>
      </c>
      <c r="T680" s="27"/>
    </row>
    <row r="681" customFormat="false" ht="15" hidden="false" customHeight="false" outlineLevel="0" collapsed="false">
      <c r="A681" s="26" t="n">
        <v>46128</v>
      </c>
      <c r="B681" s="27" t="n">
        <v>2026</v>
      </c>
      <c r="C681" s="27" t="n">
        <v>4</v>
      </c>
      <c r="D681" s="27" t="s">
        <v>83</v>
      </c>
      <c r="E681" s="27" t="s">
        <v>92</v>
      </c>
      <c r="F681" s="27" t="s">
        <v>105</v>
      </c>
      <c r="G681" s="27" t="s">
        <v>118</v>
      </c>
      <c r="H681" s="28" t="n">
        <v>1</v>
      </c>
      <c r="I681" s="29" t="n">
        <v>1180</v>
      </c>
      <c r="J681" s="29" t="n">
        <v>1180</v>
      </c>
      <c r="K681" s="29" t="n">
        <f aca="false">H681*I681</f>
        <v>1180</v>
      </c>
      <c r="L681" s="29" t="n">
        <f aca="false">IFERROR(INDEX(Cat_Productos!$B$2:$B$6,MATCH(G681,Cat_Productos!$A$2:$A$6,0)),"")</f>
        <v>590</v>
      </c>
      <c r="M681" s="29" t="n">
        <f aca="false">IF(L681="","",H681*L681)</f>
        <v>590</v>
      </c>
      <c r="N681" s="29" t="n">
        <f aca="false">IF(M681="","",J681-M681)</f>
        <v>590</v>
      </c>
      <c r="O681" s="30" t="n">
        <f aca="false">IFERROR(N681/J681,0)</f>
        <v>0.5</v>
      </c>
      <c r="P681" s="27"/>
      <c r="Q681" s="27" t="s">
        <v>156</v>
      </c>
      <c r="R681" s="27" t="s">
        <v>157</v>
      </c>
      <c r="S681" s="27" t="n">
        <v>22</v>
      </c>
      <c r="T681" s="27"/>
    </row>
    <row r="682" customFormat="false" ht="15" hidden="false" customHeight="false" outlineLevel="0" collapsed="false">
      <c r="A682" s="26" t="n">
        <v>46128</v>
      </c>
      <c r="B682" s="27" t="n">
        <v>2026</v>
      </c>
      <c r="C682" s="27" t="n">
        <v>4</v>
      </c>
      <c r="D682" s="27" t="s">
        <v>83</v>
      </c>
      <c r="E682" s="27" t="s">
        <v>93</v>
      </c>
      <c r="F682" s="27" t="s">
        <v>108</v>
      </c>
      <c r="G682" s="27" t="s">
        <v>115</v>
      </c>
      <c r="H682" s="28" t="n">
        <v>3</v>
      </c>
      <c r="I682" s="29" t="n">
        <v>6200</v>
      </c>
      <c r="J682" s="29" t="n">
        <v>18600</v>
      </c>
      <c r="K682" s="29" t="n">
        <f aca="false">H682*I682</f>
        <v>18600</v>
      </c>
      <c r="L682" s="29" t="n">
        <f aca="false">IFERROR(INDEX(Cat_Productos!$B$2:$B$6,MATCH(G682,Cat_Productos!$A$2:$A$6,0)),"")</f>
        <v>4100</v>
      </c>
      <c r="M682" s="29" t="n">
        <f aca="false">IF(L682="","",H682*L682)</f>
        <v>12300</v>
      </c>
      <c r="N682" s="29" t="n">
        <f aca="false">IF(M682="","",J682-M682)</f>
        <v>6300</v>
      </c>
      <c r="O682" s="30" t="n">
        <f aca="false">IFERROR(N682/J682,0)</f>
        <v>0.338709677419355</v>
      </c>
      <c r="P682" s="27"/>
      <c r="Q682" s="27" t="s">
        <v>156</v>
      </c>
      <c r="R682" s="27" t="s">
        <v>158</v>
      </c>
      <c r="S682" s="27" t="n">
        <v>11</v>
      </c>
      <c r="T682" s="27"/>
    </row>
    <row r="683" customFormat="false" ht="15" hidden="false" customHeight="false" outlineLevel="0" collapsed="false">
      <c r="A683" s="26" t="n">
        <v>46128</v>
      </c>
      <c r="B683" s="27" t="n">
        <v>2026</v>
      </c>
      <c r="C683" s="27" t="n">
        <v>4</v>
      </c>
      <c r="D683" s="27" t="s">
        <v>83</v>
      </c>
      <c r="E683" s="27" t="s">
        <v>92</v>
      </c>
      <c r="F683" s="27" t="s">
        <v>105</v>
      </c>
      <c r="G683" s="27" t="s">
        <v>115</v>
      </c>
      <c r="H683" s="28" t="n">
        <v>5</v>
      </c>
      <c r="I683" s="29" t="n">
        <v>6200</v>
      </c>
      <c r="J683" s="29" t="n">
        <v>31000</v>
      </c>
      <c r="K683" s="29" t="n">
        <f aca="false">H683*I683</f>
        <v>31000</v>
      </c>
      <c r="L683" s="29" t="n">
        <f aca="false">IFERROR(INDEX(Cat_Productos!$B$2:$B$6,MATCH(G683,Cat_Productos!$A$2:$A$6,0)),"")</f>
        <v>4100</v>
      </c>
      <c r="M683" s="29" t="n">
        <f aca="false">IF(L683="","",H683*L683)</f>
        <v>20500</v>
      </c>
      <c r="N683" s="29" t="n">
        <f aca="false">IF(M683="","",J683-M683)</f>
        <v>10500</v>
      </c>
      <c r="O683" s="30" t="n">
        <f aca="false">IFERROR(N683/J683,0)</f>
        <v>0.338709677419355</v>
      </c>
      <c r="P683" s="27"/>
      <c r="Q683" s="27" t="s">
        <v>156</v>
      </c>
      <c r="R683" s="27" t="s">
        <v>157</v>
      </c>
      <c r="S683" s="27" t="n">
        <v>18</v>
      </c>
      <c r="T683" s="27"/>
    </row>
    <row r="684" customFormat="false" ht="15" hidden="false" customHeight="false" outlineLevel="0" collapsed="false">
      <c r="A684" s="26" t="n">
        <v>46128</v>
      </c>
      <c r="B684" s="27" t="n">
        <v>2026</v>
      </c>
      <c r="C684" s="27" t="n">
        <v>4</v>
      </c>
      <c r="D684" s="27" t="s">
        <v>83</v>
      </c>
      <c r="E684" s="27" t="s">
        <v>92</v>
      </c>
      <c r="F684" s="27" t="s">
        <v>105</v>
      </c>
      <c r="G684" s="27" t="s">
        <v>114</v>
      </c>
      <c r="H684" s="28" t="n">
        <v>5</v>
      </c>
      <c r="I684" s="29" t="n">
        <v>24500</v>
      </c>
      <c r="J684" s="29" t="n">
        <v>122500</v>
      </c>
      <c r="K684" s="29" t="n">
        <f aca="false">H684*I684</f>
        <v>122500</v>
      </c>
      <c r="L684" s="29" t="n">
        <f aca="false">IFERROR(INDEX(Cat_Productos!$B$2:$B$6,MATCH(G684,Cat_Productos!$A$2:$A$6,0)),"")</f>
        <v>19200</v>
      </c>
      <c r="M684" s="29" t="n">
        <f aca="false">IF(L684="","",H684*L684)</f>
        <v>96000</v>
      </c>
      <c r="N684" s="29" t="n">
        <f aca="false">IF(M684="","",J684-M684)</f>
        <v>26500</v>
      </c>
      <c r="O684" s="30" t="n">
        <f aca="false">IFERROR(N684/J684,0)</f>
        <v>0.216326530612245</v>
      </c>
      <c r="P684" s="27"/>
      <c r="Q684" s="27" t="s">
        <v>156</v>
      </c>
      <c r="R684" s="27" t="s">
        <v>157</v>
      </c>
      <c r="S684" s="27" t="n">
        <v>8</v>
      </c>
      <c r="T684" s="27"/>
    </row>
    <row r="685" customFormat="false" ht="15" hidden="false" customHeight="false" outlineLevel="0" collapsed="false">
      <c r="A685" s="26" t="n">
        <v>46129</v>
      </c>
      <c r="B685" s="27" t="n">
        <v>2026</v>
      </c>
      <c r="C685" s="27" t="n">
        <v>4</v>
      </c>
      <c r="D685" s="27" t="s">
        <v>83</v>
      </c>
      <c r="E685" s="27" t="s">
        <v>92</v>
      </c>
      <c r="F685" s="27" t="s">
        <v>106</v>
      </c>
      <c r="G685" s="27" t="s">
        <v>117</v>
      </c>
      <c r="H685" s="28" t="n">
        <v>3</v>
      </c>
      <c r="I685" s="29" t="n">
        <v>1450</v>
      </c>
      <c r="J685" s="29" t="n">
        <v>4350</v>
      </c>
      <c r="K685" s="29" t="n">
        <f aca="false">H685*I685</f>
        <v>4350</v>
      </c>
      <c r="L685" s="29" t="n">
        <f aca="false">IFERROR(INDEX(Cat_Productos!$B$2:$B$6,MATCH(G685,Cat_Productos!$A$2:$A$6,0)),"")</f>
        <v>780</v>
      </c>
      <c r="M685" s="29" t="n">
        <f aca="false">IF(L685="","",H685*L685)</f>
        <v>2340</v>
      </c>
      <c r="N685" s="29" t="n">
        <f aca="false">IF(M685="","",J685-M685)</f>
        <v>2010</v>
      </c>
      <c r="O685" s="30" t="n">
        <f aca="false">IFERROR(N685/J685,0)</f>
        <v>0.462068965517241</v>
      </c>
      <c r="P685" s="27"/>
      <c r="Q685" s="27" t="s">
        <v>156</v>
      </c>
      <c r="R685" s="27" t="s">
        <v>157</v>
      </c>
      <c r="S685" s="27" t="n">
        <v>44</v>
      </c>
      <c r="T685" s="27"/>
    </row>
    <row r="686" customFormat="false" ht="15" hidden="false" customHeight="false" outlineLevel="0" collapsed="false">
      <c r="A686" s="26" t="n">
        <v>46129</v>
      </c>
      <c r="B686" s="27" t="n">
        <v>2026</v>
      </c>
      <c r="C686" s="27" t="n">
        <v>4</v>
      </c>
      <c r="D686" s="27" t="s">
        <v>83</v>
      </c>
      <c r="E686" s="27" t="s">
        <v>92</v>
      </c>
      <c r="F686" s="27" t="s">
        <v>106</v>
      </c>
      <c r="G686" s="27" t="s">
        <v>116</v>
      </c>
      <c r="H686" s="28" t="n">
        <v>5</v>
      </c>
      <c r="I686" s="29" t="n">
        <v>620</v>
      </c>
      <c r="J686" s="29" t="n">
        <v>3100</v>
      </c>
      <c r="K686" s="29" t="n">
        <f aca="false">H686*I686</f>
        <v>3100</v>
      </c>
      <c r="L686" s="29" t="n">
        <f aca="false">IFERROR(INDEX(Cat_Productos!$B$2:$B$6,MATCH(G686,Cat_Productos!$A$2:$A$6,0)),"")</f>
        <v>290</v>
      </c>
      <c r="M686" s="29" t="n">
        <f aca="false">IF(L686="","",H686*L686)</f>
        <v>1450</v>
      </c>
      <c r="N686" s="29" t="n">
        <f aca="false">IF(M686="","",J686-M686)</f>
        <v>1650</v>
      </c>
      <c r="O686" s="30" t="n">
        <f aca="false">IFERROR(N686/J686,0)</f>
        <v>0.532258064516129</v>
      </c>
      <c r="P686" s="27"/>
      <c r="Q686" s="27" t="s">
        <v>156</v>
      </c>
      <c r="R686" s="27" t="s">
        <v>157</v>
      </c>
      <c r="S686" s="27" t="n">
        <v>56</v>
      </c>
      <c r="T686" s="27"/>
    </row>
    <row r="687" customFormat="false" ht="15" hidden="false" customHeight="false" outlineLevel="0" collapsed="false">
      <c r="A687" s="26" t="n">
        <v>46129</v>
      </c>
      <c r="B687" s="27" t="n">
        <v>2026</v>
      </c>
      <c r="C687" s="27" t="n">
        <v>4</v>
      </c>
      <c r="D687" s="27" t="s">
        <v>83</v>
      </c>
      <c r="E687" s="27" t="s">
        <v>91</v>
      </c>
      <c r="F687" s="27" t="s">
        <v>107</v>
      </c>
      <c r="G687" s="27" t="s">
        <v>114</v>
      </c>
      <c r="H687" s="28" t="n">
        <v>2</v>
      </c>
      <c r="I687" s="29" t="n">
        <v>24500</v>
      </c>
      <c r="J687" s="29" t="n">
        <v>49000</v>
      </c>
      <c r="K687" s="29" t="n">
        <f aca="false">H687*I687</f>
        <v>49000</v>
      </c>
      <c r="L687" s="29" t="n">
        <f aca="false">IFERROR(INDEX(Cat_Productos!$B$2:$B$6,MATCH(G687,Cat_Productos!$A$2:$A$6,0)),"")</f>
        <v>19200</v>
      </c>
      <c r="M687" s="29" t="n">
        <f aca="false">IF(L687="","",H687*L687)</f>
        <v>38400</v>
      </c>
      <c r="N687" s="29" t="n">
        <f aca="false">IF(M687="","",J687-M687)</f>
        <v>10600</v>
      </c>
      <c r="O687" s="30" t="n">
        <f aca="false">IFERROR(N687/J687,0)</f>
        <v>0.216326530612245</v>
      </c>
      <c r="P687" s="27"/>
      <c r="Q687" s="27" t="s">
        <v>156</v>
      </c>
      <c r="R687" s="27" t="s">
        <v>91</v>
      </c>
      <c r="S687" s="27" t="n">
        <v>5</v>
      </c>
      <c r="T687" s="27"/>
    </row>
    <row r="688" customFormat="false" ht="15" hidden="false" customHeight="false" outlineLevel="0" collapsed="false">
      <c r="A688" s="26" t="n">
        <v>46129</v>
      </c>
      <c r="B688" s="27" t="n">
        <v>2026</v>
      </c>
      <c r="C688" s="27" t="n">
        <v>4</v>
      </c>
      <c r="D688" s="27" t="s">
        <v>83</v>
      </c>
      <c r="E688" s="27" t="s">
        <v>93</v>
      </c>
      <c r="F688" s="27" t="s">
        <v>104</v>
      </c>
      <c r="G688" s="27" t="s">
        <v>116</v>
      </c>
      <c r="H688" s="28" t="n">
        <v>2</v>
      </c>
      <c r="I688" s="29" t="n">
        <v>620</v>
      </c>
      <c r="J688" s="29" t="n">
        <v>1240</v>
      </c>
      <c r="K688" s="29" t="n">
        <f aca="false">H688*I688</f>
        <v>1240</v>
      </c>
      <c r="L688" s="29" t="n">
        <f aca="false">IFERROR(INDEX(Cat_Productos!$B$2:$B$6,MATCH(G688,Cat_Productos!$A$2:$A$6,0)),"")</f>
        <v>290</v>
      </c>
      <c r="M688" s="29" t="n">
        <f aca="false">IF(L688="","",H688*L688)</f>
        <v>580</v>
      </c>
      <c r="N688" s="29" t="n">
        <f aca="false">IF(M688="","",J688-M688)</f>
        <v>660</v>
      </c>
      <c r="O688" s="30" t="n">
        <f aca="false">IFERROR(N688/J688,0)</f>
        <v>0.532258064516129</v>
      </c>
      <c r="P688" s="27"/>
      <c r="Q688" s="27" t="s">
        <v>156</v>
      </c>
      <c r="R688" s="27" t="s">
        <v>158</v>
      </c>
      <c r="S688" s="27" t="n">
        <v>39</v>
      </c>
      <c r="T688" s="27"/>
    </row>
    <row r="689" customFormat="false" ht="15" hidden="false" customHeight="false" outlineLevel="0" collapsed="false">
      <c r="A689" s="26" t="n">
        <v>46129</v>
      </c>
      <c r="B689" s="27" t="n">
        <v>2026</v>
      </c>
      <c r="C689" s="27" t="n">
        <v>4</v>
      </c>
      <c r="D689" s="27" t="s">
        <v>83</v>
      </c>
      <c r="E689" s="27" t="s">
        <v>91</v>
      </c>
      <c r="F689" s="27" t="s">
        <v>103</v>
      </c>
      <c r="G689" s="27" t="s">
        <v>116</v>
      </c>
      <c r="H689" s="28" t="n">
        <v>6</v>
      </c>
      <c r="I689" s="29" t="n">
        <v>620</v>
      </c>
      <c r="J689" s="29" t="n">
        <v>3720</v>
      </c>
      <c r="K689" s="29" t="n">
        <f aca="false">H689*I689</f>
        <v>3720</v>
      </c>
      <c r="L689" s="29" t="n">
        <f aca="false">IFERROR(INDEX(Cat_Productos!$B$2:$B$6,MATCH(G689,Cat_Productos!$A$2:$A$6,0)),"")</f>
        <v>290</v>
      </c>
      <c r="M689" s="29" t="n">
        <f aca="false">IF(L689="","",H689*L689)</f>
        <v>1740</v>
      </c>
      <c r="N689" s="29" t="n">
        <f aca="false">IF(M689="","",J689-M689)</f>
        <v>1980</v>
      </c>
      <c r="O689" s="30" t="n">
        <f aca="false">IFERROR(N689/J689,0)</f>
        <v>0.532258064516129</v>
      </c>
      <c r="P689" s="27"/>
      <c r="Q689" s="27" t="s">
        <v>156</v>
      </c>
      <c r="R689" s="27" t="s">
        <v>91</v>
      </c>
      <c r="S689" s="27" t="n">
        <v>76</v>
      </c>
      <c r="T689" s="27"/>
    </row>
    <row r="690" customFormat="false" ht="15" hidden="false" customHeight="false" outlineLevel="0" collapsed="false">
      <c r="A690" s="26" t="n">
        <v>46129</v>
      </c>
      <c r="B690" s="27" t="n">
        <v>2026</v>
      </c>
      <c r="C690" s="27" t="n">
        <v>4</v>
      </c>
      <c r="D690" s="27" t="s">
        <v>83</v>
      </c>
      <c r="E690" s="27" t="s">
        <v>91</v>
      </c>
      <c r="F690" s="27" t="s">
        <v>103</v>
      </c>
      <c r="G690" s="27" t="s">
        <v>116</v>
      </c>
      <c r="H690" s="28" t="n">
        <v>4</v>
      </c>
      <c r="I690" s="29" t="n">
        <v>620</v>
      </c>
      <c r="J690" s="29" t="n">
        <v>2480</v>
      </c>
      <c r="K690" s="29" t="n">
        <f aca="false">H690*I690</f>
        <v>2480</v>
      </c>
      <c r="L690" s="29" t="n">
        <f aca="false">IFERROR(INDEX(Cat_Productos!$B$2:$B$6,MATCH(G690,Cat_Productos!$A$2:$A$6,0)),"")</f>
        <v>290</v>
      </c>
      <c r="M690" s="29" t="n">
        <f aca="false">IF(L690="","",H690*L690)</f>
        <v>1160</v>
      </c>
      <c r="N690" s="29" t="n">
        <f aca="false">IF(M690="","",J690-M690)</f>
        <v>1320</v>
      </c>
      <c r="O690" s="30" t="n">
        <f aca="false">IFERROR(N690/J690,0)</f>
        <v>0.532258064516129</v>
      </c>
      <c r="P690" s="27"/>
      <c r="Q690" s="27" t="s">
        <v>156</v>
      </c>
      <c r="R690" s="27" t="s">
        <v>91</v>
      </c>
      <c r="S690" s="27" t="n">
        <v>92</v>
      </c>
      <c r="T690" s="27"/>
    </row>
    <row r="691" customFormat="false" ht="15" hidden="false" customHeight="false" outlineLevel="0" collapsed="false">
      <c r="A691" s="26" t="n">
        <v>46129</v>
      </c>
      <c r="B691" s="27" t="n">
        <v>2026</v>
      </c>
      <c r="C691" s="27" t="n">
        <v>4</v>
      </c>
      <c r="D691" s="27" t="s">
        <v>83</v>
      </c>
      <c r="E691" s="27" t="s">
        <v>92</v>
      </c>
      <c r="F691" s="27" t="s">
        <v>106</v>
      </c>
      <c r="G691" s="27" t="s">
        <v>114</v>
      </c>
      <c r="H691" s="28" t="n">
        <v>2</v>
      </c>
      <c r="I691" s="29" t="n">
        <v>24500</v>
      </c>
      <c r="J691" s="29" t="n">
        <v>49000</v>
      </c>
      <c r="K691" s="29" t="n">
        <f aca="false">H691*I691</f>
        <v>49000</v>
      </c>
      <c r="L691" s="29" t="n">
        <f aca="false">IFERROR(INDEX(Cat_Productos!$B$2:$B$6,MATCH(G691,Cat_Productos!$A$2:$A$6,0)),"")</f>
        <v>19200</v>
      </c>
      <c r="M691" s="29" t="n">
        <f aca="false">IF(L691="","",H691*L691)</f>
        <v>38400</v>
      </c>
      <c r="N691" s="29" t="n">
        <f aca="false">IF(M691="","",J691-M691)</f>
        <v>10600</v>
      </c>
      <c r="O691" s="30" t="n">
        <f aca="false">IFERROR(N691/J691,0)</f>
        <v>0.216326530612245</v>
      </c>
      <c r="P691" s="27"/>
      <c r="Q691" s="27" t="s">
        <v>156</v>
      </c>
      <c r="R691" s="27" t="s">
        <v>157</v>
      </c>
      <c r="S691" s="27" t="n">
        <v>36</v>
      </c>
      <c r="T691" s="27"/>
    </row>
    <row r="692" customFormat="false" ht="15" hidden="false" customHeight="false" outlineLevel="0" collapsed="false">
      <c r="A692" s="26" t="n">
        <v>46129</v>
      </c>
      <c r="B692" s="27" t="n">
        <v>2026</v>
      </c>
      <c r="C692" s="27" t="n">
        <v>4</v>
      </c>
      <c r="D692" s="27" t="s">
        <v>83</v>
      </c>
      <c r="E692" s="27" t="s">
        <v>91</v>
      </c>
      <c r="F692" s="27" t="s">
        <v>103</v>
      </c>
      <c r="G692" s="27" t="s">
        <v>116</v>
      </c>
      <c r="H692" s="28" t="n">
        <v>4</v>
      </c>
      <c r="I692" s="29" t="n">
        <v>620</v>
      </c>
      <c r="J692" s="29" t="n">
        <v>2480</v>
      </c>
      <c r="K692" s="29" t="n">
        <f aca="false">H692*I692</f>
        <v>2480</v>
      </c>
      <c r="L692" s="29" t="n">
        <f aca="false">IFERROR(INDEX(Cat_Productos!$B$2:$B$6,MATCH(G692,Cat_Productos!$A$2:$A$6,0)),"")</f>
        <v>290</v>
      </c>
      <c r="M692" s="29" t="n">
        <f aca="false">IF(L692="","",H692*L692)</f>
        <v>1160</v>
      </c>
      <c r="N692" s="29" t="n">
        <f aca="false">IF(M692="","",J692-M692)</f>
        <v>1320</v>
      </c>
      <c r="O692" s="30" t="n">
        <f aca="false">IFERROR(N692/J692,0)</f>
        <v>0.532258064516129</v>
      </c>
      <c r="P692" s="27"/>
      <c r="Q692" s="27" t="s">
        <v>156</v>
      </c>
      <c r="R692" s="27" t="s">
        <v>91</v>
      </c>
      <c r="S692" s="27" t="n">
        <v>78</v>
      </c>
      <c r="T692" s="27"/>
    </row>
    <row r="693" customFormat="false" ht="15" hidden="false" customHeight="false" outlineLevel="0" collapsed="false">
      <c r="A693" s="26" t="n">
        <v>46129</v>
      </c>
      <c r="B693" s="27" t="n">
        <v>2026</v>
      </c>
      <c r="C693" s="27" t="n">
        <v>4</v>
      </c>
      <c r="D693" s="27" t="s">
        <v>83</v>
      </c>
      <c r="E693" s="27" t="s">
        <v>91</v>
      </c>
      <c r="F693" s="27" t="s">
        <v>103</v>
      </c>
      <c r="G693" s="27" t="s">
        <v>116</v>
      </c>
      <c r="H693" s="28" t="n">
        <v>2</v>
      </c>
      <c r="I693" s="29" t="n">
        <v>620</v>
      </c>
      <c r="J693" s="29" t="n">
        <v>1240</v>
      </c>
      <c r="K693" s="29" t="n">
        <f aca="false">H693*I693</f>
        <v>1240</v>
      </c>
      <c r="L693" s="29" t="n">
        <f aca="false">IFERROR(INDEX(Cat_Productos!$B$2:$B$6,MATCH(G693,Cat_Productos!$A$2:$A$6,0)),"")</f>
        <v>290</v>
      </c>
      <c r="M693" s="29" t="n">
        <f aca="false">IF(L693="","",H693*L693)</f>
        <v>580</v>
      </c>
      <c r="N693" s="29" t="n">
        <f aca="false">IF(M693="","",J693-M693)</f>
        <v>660</v>
      </c>
      <c r="O693" s="30" t="n">
        <f aca="false">IFERROR(N693/J693,0)</f>
        <v>0.532258064516129</v>
      </c>
      <c r="P693" s="27"/>
      <c r="Q693" s="27" t="s">
        <v>156</v>
      </c>
      <c r="R693" s="27" t="s">
        <v>91</v>
      </c>
      <c r="S693" s="27" t="n">
        <v>88</v>
      </c>
      <c r="T693" s="27"/>
    </row>
    <row r="694" customFormat="false" ht="15" hidden="false" customHeight="false" outlineLevel="0" collapsed="false">
      <c r="A694" s="26" t="n">
        <v>46130</v>
      </c>
      <c r="B694" s="27" t="n">
        <v>2026</v>
      </c>
      <c r="C694" s="27" t="n">
        <v>4</v>
      </c>
      <c r="D694" s="27" t="s">
        <v>83</v>
      </c>
      <c r="E694" s="27" t="s">
        <v>93</v>
      </c>
      <c r="F694" s="27" t="s">
        <v>108</v>
      </c>
      <c r="G694" s="27" t="s">
        <v>115</v>
      </c>
      <c r="H694" s="28" t="n">
        <v>5</v>
      </c>
      <c r="I694" s="29" t="n">
        <v>6200</v>
      </c>
      <c r="J694" s="29" t="n">
        <v>31000</v>
      </c>
      <c r="K694" s="29" t="n">
        <f aca="false">H694*I694</f>
        <v>31000</v>
      </c>
      <c r="L694" s="29" t="n">
        <f aca="false">IFERROR(INDEX(Cat_Productos!$B$2:$B$6,MATCH(G694,Cat_Productos!$A$2:$A$6,0)),"")</f>
        <v>4100</v>
      </c>
      <c r="M694" s="29" t="n">
        <f aca="false">IF(L694="","",H694*L694)</f>
        <v>20500</v>
      </c>
      <c r="N694" s="29" t="n">
        <f aca="false">IF(M694="","",J694-M694)</f>
        <v>10500</v>
      </c>
      <c r="O694" s="30" t="n">
        <f aca="false">IFERROR(N694/J694,0)</f>
        <v>0.338709677419355</v>
      </c>
      <c r="P694" s="27"/>
      <c r="Q694" s="27" t="s">
        <v>156</v>
      </c>
      <c r="R694" s="27" t="s">
        <v>158</v>
      </c>
      <c r="S694" s="27" t="n">
        <v>12</v>
      </c>
      <c r="T694" s="27"/>
    </row>
    <row r="695" customFormat="false" ht="15" hidden="false" customHeight="false" outlineLevel="0" collapsed="false">
      <c r="A695" s="26" t="n">
        <v>46130</v>
      </c>
      <c r="B695" s="27" t="n">
        <v>2026</v>
      </c>
      <c r="C695" s="27" t="n">
        <v>4</v>
      </c>
      <c r="D695" s="27" t="s">
        <v>83</v>
      </c>
      <c r="E695" s="27" t="s">
        <v>92</v>
      </c>
      <c r="F695" s="27" t="s">
        <v>105</v>
      </c>
      <c r="G695" s="27" t="s">
        <v>118</v>
      </c>
      <c r="H695" s="28" t="n">
        <v>5</v>
      </c>
      <c r="I695" s="29" t="n">
        <v>1180</v>
      </c>
      <c r="J695" s="29" t="n">
        <v>5900</v>
      </c>
      <c r="K695" s="29" t="n">
        <f aca="false">H695*I695</f>
        <v>5900</v>
      </c>
      <c r="L695" s="29" t="n">
        <f aca="false">IFERROR(INDEX(Cat_Productos!$B$2:$B$6,MATCH(G695,Cat_Productos!$A$2:$A$6,0)),"")</f>
        <v>590</v>
      </c>
      <c r="M695" s="29" t="n">
        <f aca="false">IF(L695="","",H695*L695)</f>
        <v>2950</v>
      </c>
      <c r="N695" s="29" t="n">
        <f aca="false">IF(M695="","",J695-M695)</f>
        <v>2950</v>
      </c>
      <c r="O695" s="30" t="n">
        <f aca="false">IFERROR(N695/J695,0)</f>
        <v>0.5</v>
      </c>
      <c r="P695" s="27"/>
      <c r="Q695" s="27" t="s">
        <v>156</v>
      </c>
      <c r="R695" s="27" t="s">
        <v>157</v>
      </c>
      <c r="S695" s="27" t="n">
        <v>31</v>
      </c>
      <c r="T695" s="27"/>
    </row>
    <row r="696" customFormat="false" ht="15" hidden="false" customHeight="false" outlineLevel="0" collapsed="false">
      <c r="A696" s="26" t="n">
        <v>46130</v>
      </c>
      <c r="B696" s="27" t="n">
        <v>2026</v>
      </c>
      <c r="C696" s="27" t="n">
        <v>4</v>
      </c>
      <c r="D696" s="27" t="s">
        <v>83</v>
      </c>
      <c r="E696" s="27" t="s">
        <v>93</v>
      </c>
      <c r="F696" s="27" t="s">
        <v>108</v>
      </c>
      <c r="G696" s="27" t="s">
        <v>115</v>
      </c>
      <c r="H696" s="28" t="n">
        <v>5</v>
      </c>
      <c r="I696" s="29" t="n">
        <v>6200</v>
      </c>
      <c r="J696" s="29" t="n">
        <v>31000</v>
      </c>
      <c r="K696" s="29" t="n">
        <f aca="false">H696*I696</f>
        <v>31000</v>
      </c>
      <c r="L696" s="29" t="n">
        <f aca="false">IFERROR(INDEX(Cat_Productos!$B$2:$B$6,MATCH(G696,Cat_Productos!$A$2:$A$6,0)),"")</f>
        <v>4100</v>
      </c>
      <c r="M696" s="29" t="n">
        <f aca="false">IF(L696="","",H696*L696)</f>
        <v>20500</v>
      </c>
      <c r="N696" s="29" t="n">
        <f aca="false">IF(M696="","",J696-M696)</f>
        <v>10500</v>
      </c>
      <c r="O696" s="30" t="n">
        <f aca="false">IFERROR(N696/J696,0)</f>
        <v>0.338709677419355</v>
      </c>
      <c r="P696" s="27"/>
      <c r="Q696" s="27" t="s">
        <v>156</v>
      </c>
      <c r="R696" s="27" t="s">
        <v>158</v>
      </c>
      <c r="S696" s="27" t="n">
        <v>14</v>
      </c>
      <c r="T696" s="27"/>
    </row>
    <row r="697" customFormat="false" ht="15" hidden="false" customHeight="false" outlineLevel="0" collapsed="false">
      <c r="A697" s="26" t="n">
        <v>46131</v>
      </c>
      <c r="B697" s="27" t="n">
        <v>2026</v>
      </c>
      <c r="C697" s="27" t="n">
        <v>4</v>
      </c>
      <c r="D697" s="27" t="s">
        <v>83</v>
      </c>
      <c r="E697" s="27" t="s">
        <v>92</v>
      </c>
      <c r="F697" s="27" t="s">
        <v>106</v>
      </c>
      <c r="G697" s="27" t="s">
        <v>116</v>
      </c>
      <c r="H697" s="28" t="n">
        <v>2</v>
      </c>
      <c r="I697" s="29" t="n">
        <v>620</v>
      </c>
      <c r="J697" s="29" t="n">
        <v>1240</v>
      </c>
      <c r="K697" s="29" t="n">
        <f aca="false">H697*I697</f>
        <v>1240</v>
      </c>
      <c r="L697" s="29" t="n">
        <f aca="false">IFERROR(INDEX(Cat_Productos!$B$2:$B$6,MATCH(G697,Cat_Productos!$A$2:$A$6,0)),"")</f>
        <v>290</v>
      </c>
      <c r="M697" s="29" t="n">
        <f aca="false">IF(L697="","",H697*L697)</f>
        <v>580</v>
      </c>
      <c r="N697" s="29" t="n">
        <f aca="false">IF(M697="","",J697-M697)</f>
        <v>660</v>
      </c>
      <c r="O697" s="30" t="n">
        <f aca="false">IFERROR(N697/J697,0)</f>
        <v>0.532258064516129</v>
      </c>
      <c r="P697" s="27"/>
      <c r="Q697" s="27" t="s">
        <v>156</v>
      </c>
      <c r="R697" s="27" t="s">
        <v>157</v>
      </c>
      <c r="S697" s="27" t="n">
        <v>53</v>
      </c>
      <c r="T697" s="27"/>
    </row>
    <row r="698" customFormat="false" ht="15" hidden="false" customHeight="false" outlineLevel="0" collapsed="false">
      <c r="A698" s="26" t="n">
        <v>46131</v>
      </c>
      <c r="B698" s="27" t="n">
        <v>2026</v>
      </c>
      <c r="C698" s="27" t="n">
        <v>4</v>
      </c>
      <c r="D698" s="27" t="s">
        <v>83</v>
      </c>
      <c r="E698" s="27" t="s">
        <v>92</v>
      </c>
      <c r="F698" s="27" t="s">
        <v>106</v>
      </c>
      <c r="G698" s="27" t="s">
        <v>116</v>
      </c>
      <c r="H698" s="28" t="n">
        <v>4</v>
      </c>
      <c r="I698" s="29" t="n">
        <v>620</v>
      </c>
      <c r="J698" s="29" t="n">
        <v>2480</v>
      </c>
      <c r="K698" s="29" t="n">
        <f aca="false">H698*I698</f>
        <v>2480</v>
      </c>
      <c r="L698" s="29" t="n">
        <f aca="false">IFERROR(INDEX(Cat_Productos!$B$2:$B$6,MATCH(G698,Cat_Productos!$A$2:$A$6,0)),"")</f>
        <v>290</v>
      </c>
      <c r="M698" s="29" t="n">
        <f aca="false">IF(L698="","",H698*L698)</f>
        <v>1160</v>
      </c>
      <c r="N698" s="29" t="n">
        <f aca="false">IF(M698="","",J698-M698)</f>
        <v>1320</v>
      </c>
      <c r="O698" s="30" t="n">
        <f aca="false">IFERROR(N698/J698,0)</f>
        <v>0.532258064516129</v>
      </c>
      <c r="P698" s="27"/>
      <c r="Q698" s="27" t="s">
        <v>156</v>
      </c>
      <c r="R698" s="27" t="s">
        <v>157</v>
      </c>
      <c r="S698" s="27" t="n">
        <v>47</v>
      </c>
      <c r="T698" s="27"/>
    </row>
    <row r="699" customFormat="false" ht="15" hidden="false" customHeight="false" outlineLevel="0" collapsed="false">
      <c r="A699" s="26" t="n">
        <v>46131</v>
      </c>
      <c r="B699" s="27" t="n">
        <v>2026</v>
      </c>
      <c r="C699" s="27" t="n">
        <v>4</v>
      </c>
      <c r="D699" s="27" t="s">
        <v>83</v>
      </c>
      <c r="E699" s="27" t="s">
        <v>91</v>
      </c>
      <c r="F699" s="27" t="s">
        <v>103</v>
      </c>
      <c r="G699" s="27" t="s">
        <v>117</v>
      </c>
      <c r="H699" s="28" t="n">
        <v>4</v>
      </c>
      <c r="I699" s="29" t="n">
        <v>1450</v>
      </c>
      <c r="J699" s="29" t="n">
        <v>5800</v>
      </c>
      <c r="K699" s="29" t="n">
        <f aca="false">H699*I699</f>
        <v>5800</v>
      </c>
      <c r="L699" s="29" t="n">
        <f aca="false">IFERROR(INDEX(Cat_Productos!$B$2:$B$6,MATCH(G699,Cat_Productos!$A$2:$A$6,0)),"")</f>
        <v>780</v>
      </c>
      <c r="M699" s="29" t="n">
        <f aca="false">IF(L699="","",H699*L699)</f>
        <v>3120</v>
      </c>
      <c r="N699" s="29" t="n">
        <f aca="false">IF(M699="","",J699-M699)</f>
        <v>2680</v>
      </c>
      <c r="O699" s="30" t="n">
        <f aca="false">IFERROR(N699/J699,0)</f>
        <v>0.462068965517241</v>
      </c>
      <c r="P699" s="27"/>
      <c r="Q699" s="27" t="s">
        <v>156</v>
      </c>
      <c r="R699" s="27" t="s">
        <v>91</v>
      </c>
      <c r="S699" s="27" t="n">
        <v>53</v>
      </c>
      <c r="T699" s="27"/>
    </row>
    <row r="700" customFormat="false" ht="15" hidden="false" customHeight="false" outlineLevel="0" collapsed="false">
      <c r="A700" s="26" t="n">
        <v>46131</v>
      </c>
      <c r="B700" s="27" t="n">
        <v>2026</v>
      </c>
      <c r="C700" s="27" t="n">
        <v>4</v>
      </c>
      <c r="D700" s="27" t="s">
        <v>83</v>
      </c>
      <c r="E700" s="27" t="s">
        <v>91</v>
      </c>
      <c r="F700" s="27" t="s">
        <v>103</v>
      </c>
      <c r="G700" s="27" t="s">
        <v>117</v>
      </c>
      <c r="H700" s="28" t="n">
        <v>4</v>
      </c>
      <c r="I700" s="29" t="n">
        <v>1450</v>
      </c>
      <c r="J700" s="29" t="n">
        <v>5800</v>
      </c>
      <c r="K700" s="29" t="n">
        <f aca="false">H700*I700</f>
        <v>5800</v>
      </c>
      <c r="L700" s="29" t="n">
        <f aca="false">IFERROR(INDEX(Cat_Productos!$B$2:$B$6,MATCH(G700,Cat_Productos!$A$2:$A$6,0)),"")</f>
        <v>780</v>
      </c>
      <c r="M700" s="29" t="n">
        <f aca="false">IF(L700="","",H700*L700)</f>
        <v>3120</v>
      </c>
      <c r="N700" s="29" t="n">
        <f aca="false">IF(M700="","",J700-M700)</f>
        <v>2680</v>
      </c>
      <c r="O700" s="30" t="n">
        <f aca="false">IFERROR(N700/J700,0)</f>
        <v>0.462068965517241</v>
      </c>
      <c r="P700" s="27"/>
      <c r="Q700" s="27" t="s">
        <v>156</v>
      </c>
      <c r="R700" s="27" t="s">
        <v>91</v>
      </c>
      <c r="S700" s="27" t="n">
        <v>47</v>
      </c>
      <c r="T700" s="27"/>
    </row>
    <row r="701" customFormat="false" ht="15" hidden="false" customHeight="false" outlineLevel="0" collapsed="false">
      <c r="A701" s="26" t="n">
        <v>46131</v>
      </c>
      <c r="B701" s="27" t="n">
        <v>2026</v>
      </c>
      <c r="C701" s="27" t="n">
        <v>4</v>
      </c>
      <c r="D701" s="27" t="s">
        <v>83</v>
      </c>
      <c r="E701" s="27" t="s">
        <v>91</v>
      </c>
      <c r="F701" s="27" t="s">
        <v>103</v>
      </c>
      <c r="G701" s="27" t="s">
        <v>117</v>
      </c>
      <c r="H701" s="28" t="n">
        <v>2</v>
      </c>
      <c r="I701" s="29" t="n">
        <v>1450</v>
      </c>
      <c r="J701" s="29" t="n">
        <v>2900</v>
      </c>
      <c r="K701" s="29" t="n">
        <f aca="false">H701*I701</f>
        <v>2900</v>
      </c>
      <c r="L701" s="29" t="n">
        <f aca="false">IFERROR(INDEX(Cat_Productos!$B$2:$B$6,MATCH(G701,Cat_Productos!$A$2:$A$6,0)),"")</f>
        <v>780</v>
      </c>
      <c r="M701" s="29" t="n">
        <f aca="false">IF(L701="","",H701*L701)</f>
        <v>1560</v>
      </c>
      <c r="N701" s="29" t="n">
        <f aca="false">IF(M701="","",J701-M701)</f>
        <v>1340</v>
      </c>
      <c r="O701" s="30" t="n">
        <f aca="false">IFERROR(N701/J701,0)</f>
        <v>0.462068965517241</v>
      </c>
      <c r="P701" s="27"/>
      <c r="Q701" s="27" t="s">
        <v>156</v>
      </c>
      <c r="R701" s="27" t="s">
        <v>91</v>
      </c>
      <c r="S701" s="27" t="n">
        <v>57</v>
      </c>
      <c r="T701" s="27"/>
    </row>
    <row r="702" customFormat="false" ht="15" hidden="false" customHeight="false" outlineLevel="0" collapsed="false">
      <c r="A702" s="26" t="n">
        <v>46131</v>
      </c>
      <c r="B702" s="27" t="n">
        <v>2026</v>
      </c>
      <c r="C702" s="27" t="n">
        <v>4</v>
      </c>
      <c r="D702" s="27" t="s">
        <v>83</v>
      </c>
      <c r="E702" s="27" t="s">
        <v>91</v>
      </c>
      <c r="F702" s="27" t="s">
        <v>107</v>
      </c>
      <c r="G702" s="27" t="s">
        <v>116</v>
      </c>
      <c r="H702" s="28" t="n">
        <v>6</v>
      </c>
      <c r="I702" s="29" t="n">
        <v>620</v>
      </c>
      <c r="J702" s="29" t="n">
        <v>3720</v>
      </c>
      <c r="K702" s="29" t="n">
        <f aca="false">H702*I702</f>
        <v>3720</v>
      </c>
      <c r="L702" s="29" t="n">
        <f aca="false">IFERROR(INDEX(Cat_Productos!$B$2:$B$6,MATCH(G702,Cat_Productos!$A$2:$A$6,0)),"")</f>
        <v>290</v>
      </c>
      <c r="M702" s="29" t="n">
        <f aca="false">IF(L702="","",H702*L702)</f>
        <v>1740</v>
      </c>
      <c r="N702" s="29" t="n">
        <f aca="false">IF(M702="","",J702-M702)</f>
        <v>1980</v>
      </c>
      <c r="O702" s="30" t="n">
        <f aca="false">IFERROR(N702/J702,0)</f>
        <v>0.532258064516129</v>
      </c>
      <c r="P702" s="27"/>
      <c r="Q702" s="27" t="s">
        <v>156</v>
      </c>
      <c r="R702" s="27" t="s">
        <v>91</v>
      </c>
      <c r="S702" s="27" t="n">
        <v>32</v>
      </c>
      <c r="T702" s="27"/>
    </row>
    <row r="703" customFormat="false" ht="15" hidden="false" customHeight="false" outlineLevel="0" collapsed="false">
      <c r="A703" s="26" t="n">
        <v>46131</v>
      </c>
      <c r="B703" s="27" t="n">
        <v>2026</v>
      </c>
      <c r="C703" s="27" t="n">
        <v>4</v>
      </c>
      <c r="D703" s="27" t="s">
        <v>83</v>
      </c>
      <c r="E703" s="27" t="s">
        <v>91</v>
      </c>
      <c r="F703" s="27" t="s">
        <v>103</v>
      </c>
      <c r="G703" s="27" t="s">
        <v>114</v>
      </c>
      <c r="H703" s="28" t="n">
        <v>2</v>
      </c>
      <c r="I703" s="29" t="n">
        <v>24500</v>
      </c>
      <c r="J703" s="29" t="n">
        <v>49000</v>
      </c>
      <c r="K703" s="29" t="n">
        <f aca="false">H703*I703</f>
        <v>49000</v>
      </c>
      <c r="L703" s="29" t="n">
        <f aca="false">IFERROR(INDEX(Cat_Productos!$B$2:$B$6,MATCH(G703,Cat_Productos!$A$2:$A$6,0)),"")</f>
        <v>19200</v>
      </c>
      <c r="M703" s="29" t="n">
        <f aca="false">IF(L703="","",H703*L703)</f>
        <v>38400</v>
      </c>
      <c r="N703" s="29" t="n">
        <f aca="false">IF(M703="","",J703-M703)</f>
        <v>10600</v>
      </c>
      <c r="O703" s="30" t="n">
        <f aca="false">IFERROR(N703/J703,0)</f>
        <v>0.216326530612245</v>
      </c>
      <c r="P703" s="27"/>
      <c r="Q703" s="27" t="s">
        <v>156</v>
      </c>
      <c r="R703" s="27" t="s">
        <v>91</v>
      </c>
      <c r="S703" s="27" t="n">
        <v>43</v>
      </c>
      <c r="T703" s="27"/>
    </row>
    <row r="704" customFormat="false" ht="15" hidden="false" customHeight="false" outlineLevel="0" collapsed="false">
      <c r="A704" s="26" t="n">
        <v>46131</v>
      </c>
      <c r="B704" s="27" t="n">
        <v>2026</v>
      </c>
      <c r="C704" s="27" t="n">
        <v>4</v>
      </c>
      <c r="D704" s="27" t="s">
        <v>83</v>
      </c>
      <c r="E704" s="27" t="s">
        <v>91</v>
      </c>
      <c r="F704" s="27" t="s">
        <v>103</v>
      </c>
      <c r="G704" s="27" t="s">
        <v>116</v>
      </c>
      <c r="H704" s="28" t="n">
        <v>4</v>
      </c>
      <c r="I704" s="29" t="n">
        <v>620</v>
      </c>
      <c r="J704" s="29" t="n">
        <v>2480</v>
      </c>
      <c r="K704" s="29" t="n">
        <f aca="false">H704*I704</f>
        <v>2480</v>
      </c>
      <c r="L704" s="29" t="n">
        <f aca="false">IFERROR(INDEX(Cat_Productos!$B$2:$B$6,MATCH(G704,Cat_Productos!$A$2:$A$6,0)),"")</f>
        <v>290</v>
      </c>
      <c r="M704" s="29" t="n">
        <f aca="false">IF(L704="","",H704*L704)</f>
        <v>1160</v>
      </c>
      <c r="N704" s="29" t="n">
        <f aca="false">IF(M704="","",J704-M704)</f>
        <v>1320</v>
      </c>
      <c r="O704" s="30" t="n">
        <f aca="false">IFERROR(N704/J704,0)</f>
        <v>0.532258064516129</v>
      </c>
      <c r="P704" s="27"/>
      <c r="Q704" s="27" t="s">
        <v>156</v>
      </c>
      <c r="R704" s="27" t="s">
        <v>91</v>
      </c>
      <c r="S704" s="27" t="n">
        <v>89</v>
      </c>
      <c r="T704" s="27"/>
    </row>
    <row r="705" customFormat="false" ht="15" hidden="false" customHeight="false" outlineLevel="0" collapsed="false">
      <c r="A705" s="26" t="n">
        <v>46131</v>
      </c>
      <c r="B705" s="27" t="n">
        <v>2026</v>
      </c>
      <c r="C705" s="27" t="n">
        <v>4</v>
      </c>
      <c r="D705" s="27" t="s">
        <v>83</v>
      </c>
      <c r="E705" s="27" t="s">
        <v>93</v>
      </c>
      <c r="F705" s="27" t="s">
        <v>104</v>
      </c>
      <c r="G705" s="27" t="s">
        <v>116</v>
      </c>
      <c r="H705" s="28" t="n">
        <v>4</v>
      </c>
      <c r="I705" s="29" t="n">
        <v>620</v>
      </c>
      <c r="J705" s="29" t="n">
        <v>2480</v>
      </c>
      <c r="K705" s="29" t="n">
        <f aca="false">H705*I705</f>
        <v>2480</v>
      </c>
      <c r="L705" s="29" t="n">
        <f aca="false">IFERROR(INDEX(Cat_Productos!$B$2:$B$6,MATCH(G705,Cat_Productos!$A$2:$A$6,0)),"")</f>
        <v>290</v>
      </c>
      <c r="M705" s="29" t="n">
        <f aca="false">IF(L705="","",H705*L705)</f>
        <v>1160</v>
      </c>
      <c r="N705" s="29" t="n">
        <f aca="false">IF(M705="","",J705-M705)</f>
        <v>1320</v>
      </c>
      <c r="O705" s="30" t="n">
        <f aca="false">IFERROR(N705/J705,0)</f>
        <v>0.532258064516129</v>
      </c>
      <c r="P705" s="27"/>
      <c r="Q705" s="27" t="s">
        <v>156</v>
      </c>
      <c r="R705" s="27" t="s">
        <v>158</v>
      </c>
      <c r="S705" s="27" t="n">
        <v>42</v>
      </c>
      <c r="T705" s="27"/>
    </row>
    <row r="706" customFormat="false" ht="15" hidden="false" customHeight="false" outlineLevel="0" collapsed="false">
      <c r="A706" s="26" t="n">
        <v>46131</v>
      </c>
      <c r="B706" s="27" t="n">
        <v>2026</v>
      </c>
      <c r="C706" s="27" t="n">
        <v>4</v>
      </c>
      <c r="D706" s="27" t="s">
        <v>83</v>
      </c>
      <c r="E706" s="27" t="s">
        <v>91</v>
      </c>
      <c r="F706" s="27" t="s">
        <v>103</v>
      </c>
      <c r="G706" s="27" t="s">
        <v>117</v>
      </c>
      <c r="H706" s="28" t="n">
        <v>2</v>
      </c>
      <c r="I706" s="29" t="n">
        <v>1450</v>
      </c>
      <c r="J706" s="29" t="n">
        <v>2900</v>
      </c>
      <c r="K706" s="29" t="n">
        <f aca="false">H706*I706</f>
        <v>2900</v>
      </c>
      <c r="L706" s="29" t="n">
        <f aca="false">IFERROR(INDEX(Cat_Productos!$B$2:$B$6,MATCH(G706,Cat_Productos!$A$2:$A$6,0)),"")</f>
        <v>780</v>
      </c>
      <c r="M706" s="29" t="n">
        <f aca="false">IF(L706="","",H706*L706)</f>
        <v>1560</v>
      </c>
      <c r="N706" s="29" t="n">
        <f aca="false">IF(M706="","",J706-M706)</f>
        <v>1340</v>
      </c>
      <c r="O706" s="30" t="n">
        <f aca="false">IFERROR(N706/J706,0)</f>
        <v>0.462068965517241</v>
      </c>
      <c r="P706" s="27"/>
      <c r="Q706" s="27" t="s">
        <v>156</v>
      </c>
      <c r="R706" s="27" t="s">
        <v>91</v>
      </c>
      <c r="S706" s="27" t="n">
        <v>69</v>
      </c>
      <c r="T706" s="27"/>
    </row>
    <row r="707" customFormat="false" ht="15" hidden="false" customHeight="false" outlineLevel="0" collapsed="false">
      <c r="A707" s="26" t="n">
        <v>46131</v>
      </c>
      <c r="B707" s="27" t="n">
        <v>2026</v>
      </c>
      <c r="C707" s="27" t="n">
        <v>4</v>
      </c>
      <c r="D707" s="27" t="s">
        <v>83</v>
      </c>
      <c r="E707" s="27" t="s">
        <v>91</v>
      </c>
      <c r="F707" s="27" t="s">
        <v>107</v>
      </c>
      <c r="G707" s="27" t="s">
        <v>117</v>
      </c>
      <c r="H707" s="28" t="n">
        <v>6</v>
      </c>
      <c r="I707" s="29" t="n">
        <v>1450</v>
      </c>
      <c r="J707" s="29" t="n">
        <v>8700</v>
      </c>
      <c r="K707" s="29" t="n">
        <f aca="false">H707*I707</f>
        <v>8700</v>
      </c>
      <c r="L707" s="29" t="n">
        <f aca="false">IFERROR(INDEX(Cat_Productos!$B$2:$B$6,MATCH(G707,Cat_Productos!$A$2:$A$6,0)),"")</f>
        <v>780</v>
      </c>
      <c r="M707" s="29" t="n">
        <f aca="false">IF(L707="","",H707*L707)</f>
        <v>4680</v>
      </c>
      <c r="N707" s="29" t="n">
        <f aca="false">IF(M707="","",J707-M707)</f>
        <v>4020</v>
      </c>
      <c r="O707" s="30" t="n">
        <f aca="false">IFERROR(N707/J707,0)</f>
        <v>0.462068965517241</v>
      </c>
      <c r="P707" s="27"/>
      <c r="Q707" s="27" t="s">
        <v>156</v>
      </c>
      <c r="R707" s="27" t="s">
        <v>91</v>
      </c>
      <c r="S707" s="27" t="n">
        <v>12</v>
      </c>
      <c r="T707" s="27"/>
    </row>
    <row r="708" customFormat="false" ht="15" hidden="false" customHeight="false" outlineLevel="0" collapsed="false">
      <c r="A708" s="26" t="n">
        <v>46131</v>
      </c>
      <c r="B708" s="27" t="n">
        <v>2026</v>
      </c>
      <c r="C708" s="27" t="n">
        <v>4</v>
      </c>
      <c r="D708" s="27" t="s">
        <v>83</v>
      </c>
      <c r="E708" s="27" t="s">
        <v>91</v>
      </c>
      <c r="F708" s="27" t="s">
        <v>107</v>
      </c>
      <c r="G708" s="27" t="s">
        <v>117</v>
      </c>
      <c r="H708" s="28" t="n">
        <v>2</v>
      </c>
      <c r="I708" s="29" t="n">
        <v>1450</v>
      </c>
      <c r="J708" s="29" t="n">
        <v>2900</v>
      </c>
      <c r="K708" s="29" t="n">
        <f aca="false">H708*I708</f>
        <v>2900</v>
      </c>
      <c r="L708" s="29" t="n">
        <f aca="false">IFERROR(INDEX(Cat_Productos!$B$2:$B$6,MATCH(G708,Cat_Productos!$A$2:$A$6,0)),"")</f>
        <v>780</v>
      </c>
      <c r="M708" s="29" t="n">
        <f aca="false">IF(L708="","",H708*L708)</f>
        <v>1560</v>
      </c>
      <c r="N708" s="29" t="n">
        <f aca="false">IF(M708="","",J708-M708)</f>
        <v>1340</v>
      </c>
      <c r="O708" s="30" t="n">
        <f aca="false">IFERROR(N708/J708,0)</f>
        <v>0.462068965517241</v>
      </c>
      <c r="P708" s="27"/>
      <c r="Q708" s="27" t="s">
        <v>156</v>
      </c>
      <c r="R708" s="27" t="s">
        <v>91</v>
      </c>
      <c r="S708" s="27" t="n">
        <v>26</v>
      </c>
      <c r="T708" s="27"/>
    </row>
    <row r="709" customFormat="false" ht="15" hidden="false" customHeight="false" outlineLevel="0" collapsed="false">
      <c r="A709" s="26" t="n">
        <v>46131</v>
      </c>
      <c r="B709" s="27" t="n">
        <v>2026</v>
      </c>
      <c r="C709" s="27" t="n">
        <v>4</v>
      </c>
      <c r="D709" s="27" t="s">
        <v>83</v>
      </c>
      <c r="E709" s="27" t="s">
        <v>91</v>
      </c>
      <c r="F709" s="27" t="s">
        <v>103</v>
      </c>
      <c r="G709" s="27" t="s">
        <v>116</v>
      </c>
      <c r="H709" s="28" t="n">
        <v>6</v>
      </c>
      <c r="I709" s="29" t="n">
        <v>620</v>
      </c>
      <c r="J709" s="29" t="n">
        <v>3720</v>
      </c>
      <c r="K709" s="29" t="n">
        <f aca="false">H709*I709</f>
        <v>3720</v>
      </c>
      <c r="L709" s="29" t="n">
        <f aca="false">IFERROR(INDEX(Cat_Productos!$B$2:$B$6,MATCH(G709,Cat_Productos!$A$2:$A$6,0)),"")</f>
        <v>290</v>
      </c>
      <c r="M709" s="29" t="n">
        <f aca="false">IF(L709="","",H709*L709)</f>
        <v>1740</v>
      </c>
      <c r="N709" s="29" t="n">
        <f aca="false">IF(M709="","",J709-M709)</f>
        <v>1980</v>
      </c>
      <c r="O709" s="30" t="n">
        <f aca="false">IFERROR(N709/J709,0)</f>
        <v>0.532258064516129</v>
      </c>
      <c r="P709" s="27"/>
      <c r="Q709" s="27" t="s">
        <v>156</v>
      </c>
      <c r="R709" s="27" t="s">
        <v>91</v>
      </c>
      <c r="S709" s="27" t="n">
        <v>77</v>
      </c>
      <c r="T709" s="27"/>
    </row>
    <row r="710" customFormat="false" ht="15" hidden="false" customHeight="false" outlineLevel="0" collapsed="false">
      <c r="A710" s="26" t="n">
        <v>46131</v>
      </c>
      <c r="B710" s="27" t="n">
        <v>2026</v>
      </c>
      <c r="C710" s="27" t="n">
        <v>4</v>
      </c>
      <c r="D710" s="27" t="s">
        <v>83</v>
      </c>
      <c r="E710" s="27" t="s">
        <v>93</v>
      </c>
      <c r="F710" s="27" t="s">
        <v>104</v>
      </c>
      <c r="G710" s="27" t="s">
        <v>116</v>
      </c>
      <c r="H710" s="28" t="n">
        <v>4</v>
      </c>
      <c r="I710" s="29" t="n">
        <v>620</v>
      </c>
      <c r="J710" s="29" t="n">
        <v>2480</v>
      </c>
      <c r="K710" s="29" t="n">
        <f aca="false">H710*I710</f>
        <v>2480</v>
      </c>
      <c r="L710" s="29" t="n">
        <f aca="false">IFERROR(INDEX(Cat_Productos!$B$2:$B$6,MATCH(G710,Cat_Productos!$A$2:$A$6,0)),"")</f>
        <v>290</v>
      </c>
      <c r="M710" s="29" t="n">
        <f aca="false">IF(L710="","",H710*L710)</f>
        <v>1160</v>
      </c>
      <c r="N710" s="29" t="n">
        <f aca="false">IF(M710="","",J710-M710)</f>
        <v>1320</v>
      </c>
      <c r="O710" s="30" t="n">
        <f aca="false">IFERROR(N710/J710,0)</f>
        <v>0.532258064516129</v>
      </c>
      <c r="P710" s="27"/>
      <c r="Q710" s="27" t="s">
        <v>156</v>
      </c>
      <c r="R710" s="27" t="s">
        <v>158</v>
      </c>
      <c r="S710" s="27" t="n">
        <v>38</v>
      </c>
      <c r="T710" s="27"/>
    </row>
    <row r="711" customFormat="false" ht="15" hidden="false" customHeight="false" outlineLevel="0" collapsed="false">
      <c r="A711" s="26" t="n">
        <v>46131</v>
      </c>
      <c r="B711" s="27" t="n">
        <v>2026</v>
      </c>
      <c r="C711" s="27" t="n">
        <v>4</v>
      </c>
      <c r="D711" s="27" t="s">
        <v>83</v>
      </c>
      <c r="E711" s="27" t="s">
        <v>93</v>
      </c>
      <c r="F711" s="27" t="s">
        <v>104</v>
      </c>
      <c r="G711" s="27" t="s">
        <v>117</v>
      </c>
      <c r="H711" s="28" t="n">
        <v>4</v>
      </c>
      <c r="I711" s="29" t="n">
        <v>1450</v>
      </c>
      <c r="J711" s="29" t="n">
        <v>5800</v>
      </c>
      <c r="K711" s="29" t="n">
        <f aca="false">H711*I711</f>
        <v>5800</v>
      </c>
      <c r="L711" s="29" t="n">
        <f aca="false">IFERROR(INDEX(Cat_Productos!$B$2:$B$6,MATCH(G711,Cat_Productos!$A$2:$A$6,0)),"")</f>
        <v>780</v>
      </c>
      <c r="M711" s="29" t="n">
        <f aca="false">IF(L711="","",H711*L711)</f>
        <v>3120</v>
      </c>
      <c r="N711" s="29" t="n">
        <f aca="false">IF(M711="","",J711-M711)</f>
        <v>2680</v>
      </c>
      <c r="O711" s="30" t="n">
        <f aca="false">IFERROR(N711/J711,0)</f>
        <v>0.462068965517241</v>
      </c>
      <c r="P711" s="27"/>
      <c r="Q711" s="27" t="s">
        <v>156</v>
      </c>
      <c r="R711" s="27" t="s">
        <v>158</v>
      </c>
      <c r="S711" s="27" t="n">
        <v>34</v>
      </c>
      <c r="T711" s="27"/>
    </row>
    <row r="712" customFormat="false" ht="15" hidden="false" customHeight="false" outlineLevel="0" collapsed="false">
      <c r="A712" s="26" t="n">
        <v>46132</v>
      </c>
      <c r="B712" s="27" t="n">
        <v>2026</v>
      </c>
      <c r="C712" s="27" t="n">
        <v>4</v>
      </c>
      <c r="D712" s="27" t="s">
        <v>83</v>
      </c>
      <c r="E712" s="27" t="s">
        <v>92</v>
      </c>
      <c r="F712" s="27" t="s">
        <v>105</v>
      </c>
      <c r="G712" s="27" t="s">
        <v>118</v>
      </c>
      <c r="H712" s="28" t="n">
        <v>1</v>
      </c>
      <c r="I712" s="29" t="n">
        <v>1180</v>
      </c>
      <c r="J712" s="29" t="n">
        <v>1180</v>
      </c>
      <c r="K712" s="29" t="n">
        <f aca="false">H712*I712</f>
        <v>1180</v>
      </c>
      <c r="L712" s="29" t="n">
        <f aca="false">IFERROR(INDEX(Cat_Productos!$B$2:$B$6,MATCH(G712,Cat_Productos!$A$2:$A$6,0)),"")</f>
        <v>590</v>
      </c>
      <c r="M712" s="29" t="n">
        <f aca="false">IF(L712="","",H712*L712)</f>
        <v>590</v>
      </c>
      <c r="N712" s="29" t="n">
        <f aca="false">IF(M712="","",J712-M712)</f>
        <v>590</v>
      </c>
      <c r="O712" s="30" t="n">
        <f aca="false">IFERROR(N712/J712,0)</f>
        <v>0.5</v>
      </c>
      <c r="P712" s="27"/>
      <c r="Q712" s="27" t="s">
        <v>156</v>
      </c>
      <c r="R712" s="27" t="s">
        <v>157</v>
      </c>
      <c r="S712" s="27" t="n">
        <v>30</v>
      </c>
      <c r="T712" s="27"/>
    </row>
    <row r="713" customFormat="false" ht="15" hidden="false" customHeight="false" outlineLevel="0" collapsed="false">
      <c r="A713" s="26" t="n">
        <v>46132</v>
      </c>
      <c r="B713" s="27" t="n">
        <v>2026</v>
      </c>
      <c r="C713" s="27" t="n">
        <v>4</v>
      </c>
      <c r="D713" s="27" t="s">
        <v>83</v>
      </c>
      <c r="E713" s="27" t="s">
        <v>92</v>
      </c>
      <c r="F713" s="27" t="s">
        <v>105</v>
      </c>
      <c r="G713" s="27" t="s">
        <v>118</v>
      </c>
      <c r="H713" s="28" t="n">
        <v>3</v>
      </c>
      <c r="I713" s="29" t="n">
        <v>1180</v>
      </c>
      <c r="J713" s="29" t="n">
        <v>3540</v>
      </c>
      <c r="K713" s="29" t="n">
        <f aca="false">H713*I713</f>
        <v>3540</v>
      </c>
      <c r="L713" s="29" t="n">
        <f aca="false">IFERROR(INDEX(Cat_Productos!$B$2:$B$6,MATCH(G713,Cat_Productos!$A$2:$A$6,0)),"")</f>
        <v>590</v>
      </c>
      <c r="M713" s="29" t="n">
        <f aca="false">IF(L713="","",H713*L713)</f>
        <v>1770</v>
      </c>
      <c r="N713" s="29" t="n">
        <f aca="false">IF(M713="","",J713-M713)</f>
        <v>1770</v>
      </c>
      <c r="O713" s="30" t="n">
        <f aca="false">IFERROR(N713/J713,0)</f>
        <v>0.5</v>
      </c>
      <c r="P713" s="27"/>
      <c r="Q713" s="27" t="s">
        <v>156</v>
      </c>
      <c r="R713" s="27" t="s">
        <v>157</v>
      </c>
      <c r="S713" s="27" t="n">
        <v>24</v>
      </c>
      <c r="T713" s="27"/>
    </row>
    <row r="714" customFormat="false" ht="15" hidden="false" customHeight="false" outlineLevel="0" collapsed="false">
      <c r="A714" s="26" t="n">
        <v>46132</v>
      </c>
      <c r="B714" s="27" t="n">
        <v>2026</v>
      </c>
      <c r="C714" s="27" t="n">
        <v>4</v>
      </c>
      <c r="D714" s="27" t="s">
        <v>83</v>
      </c>
      <c r="E714" s="27" t="s">
        <v>93</v>
      </c>
      <c r="F714" s="27" t="s">
        <v>108</v>
      </c>
      <c r="G714" s="27" t="s">
        <v>115</v>
      </c>
      <c r="H714" s="28" t="n">
        <v>5</v>
      </c>
      <c r="I714" s="29" t="n">
        <v>6200</v>
      </c>
      <c r="J714" s="29" t="n">
        <v>31000</v>
      </c>
      <c r="K714" s="29" t="n">
        <f aca="false">H714*I714</f>
        <v>31000</v>
      </c>
      <c r="L714" s="29" t="n">
        <f aca="false">IFERROR(INDEX(Cat_Productos!$B$2:$B$6,MATCH(G714,Cat_Productos!$A$2:$A$6,0)),"")</f>
        <v>4100</v>
      </c>
      <c r="M714" s="29" t="n">
        <f aca="false">IF(L714="","",H714*L714)</f>
        <v>20500</v>
      </c>
      <c r="N714" s="29" t="n">
        <f aca="false">IF(M714="","",J714-M714)</f>
        <v>10500</v>
      </c>
      <c r="O714" s="30" t="n">
        <f aca="false">IFERROR(N714/J714,0)</f>
        <v>0.338709677419355</v>
      </c>
      <c r="P714" s="27"/>
      <c r="Q714" s="27" t="s">
        <v>156</v>
      </c>
      <c r="R714" s="27" t="s">
        <v>158</v>
      </c>
      <c r="S714" s="27" t="n">
        <v>13</v>
      </c>
      <c r="T714" s="27"/>
    </row>
    <row r="715" customFormat="false" ht="15" hidden="false" customHeight="false" outlineLevel="0" collapsed="false">
      <c r="A715" s="26" t="n">
        <v>46132</v>
      </c>
      <c r="B715" s="27" t="n">
        <v>2026</v>
      </c>
      <c r="C715" s="27" t="n">
        <v>4</v>
      </c>
      <c r="D715" s="27" t="s">
        <v>83</v>
      </c>
      <c r="E715" s="27" t="s">
        <v>92</v>
      </c>
      <c r="F715" s="27" t="s">
        <v>105</v>
      </c>
      <c r="G715" s="27" t="s">
        <v>114</v>
      </c>
      <c r="H715" s="28" t="n">
        <v>5</v>
      </c>
      <c r="I715" s="29" t="n">
        <v>24500</v>
      </c>
      <c r="J715" s="29" t="n">
        <v>122500</v>
      </c>
      <c r="K715" s="29" t="n">
        <f aca="false">H715*I715</f>
        <v>122500</v>
      </c>
      <c r="L715" s="29" t="n">
        <f aca="false">IFERROR(INDEX(Cat_Productos!$B$2:$B$6,MATCH(G715,Cat_Productos!$A$2:$A$6,0)),"")</f>
        <v>19200</v>
      </c>
      <c r="M715" s="29" t="n">
        <f aca="false">IF(L715="","",H715*L715)</f>
        <v>96000</v>
      </c>
      <c r="N715" s="29" t="n">
        <f aca="false">IF(M715="","",J715-M715)</f>
        <v>26500</v>
      </c>
      <c r="O715" s="30" t="n">
        <f aca="false">IFERROR(N715/J715,0)</f>
        <v>0.216326530612245</v>
      </c>
      <c r="P715" s="27"/>
      <c r="Q715" s="27" t="s">
        <v>156</v>
      </c>
      <c r="R715" s="27" t="s">
        <v>157</v>
      </c>
      <c r="S715" s="27" t="n">
        <v>10</v>
      </c>
      <c r="T715" s="27"/>
    </row>
    <row r="716" customFormat="false" ht="15" hidden="false" customHeight="false" outlineLevel="0" collapsed="false">
      <c r="A716" s="26" t="n">
        <v>46132</v>
      </c>
      <c r="B716" s="27" t="n">
        <v>2026</v>
      </c>
      <c r="C716" s="27" t="n">
        <v>4</v>
      </c>
      <c r="D716" s="27" t="s">
        <v>83</v>
      </c>
      <c r="E716" s="27" t="s">
        <v>92</v>
      </c>
      <c r="F716" s="27" t="s">
        <v>105</v>
      </c>
      <c r="G716" s="27" t="s">
        <v>114</v>
      </c>
      <c r="H716" s="28" t="n">
        <v>5</v>
      </c>
      <c r="I716" s="29" t="n">
        <v>24500</v>
      </c>
      <c r="J716" s="29" t="n">
        <v>122500</v>
      </c>
      <c r="K716" s="29" t="n">
        <f aca="false">H716*I716</f>
        <v>122500</v>
      </c>
      <c r="L716" s="29" t="n">
        <f aca="false">IFERROR(INDEX(Cat_Productos!$B$2:$B$6,MATCH(G716,Cat_Productos!$A$2:$A$6,0)),"")</f>
        <v>19200</v>
      </c>
      <c r="M716" s="29" t="n">
        <f aca="false">IF(L716="","",H716*L716)</f>
        <v>96000</v>
      </c>
      <c r="N716" s="29" t="n">
        <f aca="false">IF(M716="","",J716-M716)</f>
        <v>26500</v>
      </c>
      <c r="O716" s="30" t="n">
        <f aca="false">IFERROR(N716/J716,0)</f>
        <v>0.216326530612245</v>
      </c>
      <c r="P716" s="27"/>
      <c r="Q716" s="27" t="s">
        <v>156</v>
      </c>
      <c r="R716" s="27" t="s">
        <v>157</v>
      </c>
      <c r="S716" s="27" t="n">
        <v>6</v>
      </c>
      <c r="T716" s="27"/>
    </row>
    <row r="717" customFormat="false" ht="15" hidden="false" customHeight="false" outlineLevel="0" collapsed="false">
      <c r="A717" s="26" t="n">
        <v>46132</v>
      </c>
      <c r="B717" s="27" t="n">
        <v>2026</v>
      </c>
      <c r="C717" s="27" t="n">
        <v>4</v>
      </c>
      <c r="D717" s="27" t="s">
        <v>83</v>
      </c>
      <c r="E717" s="27" t="s">
        <v>92</v>
      </c>
      <c r="F717" s="27" t="s">
        <v>108</v>
      </c>
      <c r="G717" s="27" t="s">
        <v>118</v>
      </c>
      <c r="H717" s="28" t="n">
        <v>3</v>
      </c>
      <c r="I717" s="29" t="n">
        <v>1180</v>
      </c>
      <c r="J717" s="29" t="n">
        <v>3540</v>
      </c>
      <c r="K717" s="29" t="n">
        <f aca="false">H717*I717</f>
        <v>3540</v>
      </c>
      <c r="L717" s="29" t="n">
        <f aca="false">IFERROR(INDEX(Cat_Productos!$B$2:$B$6,MATCH(G717,Cat_Productos!$A$2:$A$6,0)),"")</f>
        <v>590</v>
      </c>
      <c r="M717" s="29" t="n">
        <f aca="false">IF(L717="","",H717*L717)</f>
        <v>1770</v>
      </c>
      <c r="N717" s="29" t="n">
        <f aca="false">IF(M717="","",J717-M717)</f>
        <v>1770</v>
      </c>
      <c r="O717" s="30" t="n">
        <f aca="false">IFERROR(N717/J717,0)</f>
        <v>0.5</v>
      </c>
      <c r="P717" s="27"/>
      <c r="Q717" s="27" t="s">
        <v>156</v>
      </c>
      <c r="R717" s="27" t="s">
        <v>157</v>
      </c>
      <c r="S717" s="27" t="n">
        <v>34</v>
      </c>
      <c r="T717" s="27"/>
    </row>
    <row r="718" customFormat="false" ht="15" hidden="false" customHeight="false" outlineLevel="0" collapsed="false">
      <c r="A718" s="26" t="n">
        <v>46133</v>
      </c>
      <c r="B718" s="27" t="n">
        <v>2026</v>
      </c>
      <c r="C718" s="27" t="n">
        <v>4</v>
      </c>
      <c r="D718" s="27" t="s">
        <v>83</v>
      </c>
      <c r="E718" s="27" t="s">
        <v>93</v>
      </c>
      <c r="F718" s="27" t="s">
        <v>104</v>
      </c>
      <c r="G718" s="27" t="s">
        <v>114</v>
      </c>
      <c r="H718" s="28" t="n">
        <v>6</v>
      </c>
      <c r="I718" s="29" t="n">
        <v>24500</v>
      </c>
      <c r="J718" s="29" t="n">
        <v>147000</v>
      </c>
      <c r="K718" s="29" t="n">
        <f aca="false">H718*I718</f>
        <v>147000</v>
      </c>
      <c r="L718" s="29" t="n">
        <f aca="false">IFERROR(INDEX(Cat_Productos!$B$2:$B$6,MATCH(G718,Cat_Productos!$A$2:$A$6,0)),"")</f>
        <v>19200</v>
      </c>
      <c r="M718" s="29" t="n">
        <f aca="false">IF(L718="","",H718*L718)</f>
        <v>115200</v>
      </c>
      <c r="N718" s="29" t="n">
        <f aca="false">IF(M718="","",J718-M718)</f>
        <v>31800</v>
      </c>
      <c r="O718" s="30" t="n">
        <f aca="false">IFERROR(N718/J718,0)</f>
        <v>0.216326530612245</v>
      </c>
      <c r="P718" s="27"/>
      <c r="Q718" s="27" t="s">
        <v>156</v>
      </c>
      <c r="R718" s="27" t="s">
        <v>158</v>
      </c>
      <c r="S718" s="27" t="n">
        <v>23</v>
      </c>
      <c r="T718" s="27"/>
    </row>
    <row r="719" customFormat="false" ht="15" hidden="false" customHeight="false" outlineLevel="0" collapsed="false">
      <c r="A719" s="26" t="n">
        <v>46133</v>
      </c>
      <c r="B719" s="27" t="n">
        <v>2026</v>
      </c>
      <c r="C719" s="27" t="n">
        <v>4</v>
      </c>
      <c r="D719" s="27" t="s">
        <v>83</v>
      </c>
      <c r="E719" s="27" t="s">
        <v>91</v>
      </c>
      <c r="F719" s="27" t="s">
        <v>107</v>
      </c>
      <c r="G719" s="27" t="s">
        <v>114</v>
      </c>
      <c r="H719" s="28" t="n">
        <v>1</v>
      </c>
      <c r="I719" s="29" t="n">
        <v>24500</v>
      </c>
      <c r="J719" s="29" t="n">
        <v>24500</v>
      </c>
      <c r="K719" s="29" t="n">
        <f aca="false">H719*I719</f>
        <v>24500</v>
      </c>
      <c r="L719" s="29" t="n">
        <f aca="false">IFERROR(INDEX(Cat_Productos!$B$2:$B$6,MATCH(G719,Cat_Productos!$A$2:$A$6,0)),"")</f>
        <v>19200</v>
      </c>
      <c r="M719" s="29" t="n">
        <f aca="false">IF(L719="","",H719*L719)</f>
        <v>19200</v>
      </c>
      <c r="N719" s="29" t="n">
        <f aca="false">IF(M719="","",J719-M719)</f>
        <v>5300</v>
      </c>
      <c r="O719" s="30" t="n">
        <f aca="false">IFERROR(N719/J719,0)</f>
        <v>0.216326530612245</v>
      </c>
      <c r="P719" s="27"/>
      <c r="Q719" s="27" t="s">
        <v>156</v>
      </c>
      <c r="R719" s="27" t="s">
        <v>91</v>
      </c>
      <c r="S719" s="27" t="n">
        <v>9</v>
      </c>
      <c r="T719" s="27"/>
    </row>
    <row r="720" customFormat="false" ht="15" hidden="false" customHeight="false" outlineLevel="0" collapsed="false">
      <c r="A720" s="26" t="n">
        <v>46133</v>
      </c>
      <c r="B720" s="27" t="n">
        <v>2026</v>
      </c>
      <c r="C720" s="27" t="n">
        <v>4</v>
      </c>
      <c r="D720" s="27" t="s">
        <v>83</v>
      </c>
      <c r="E720" s="27" t="s">
        <v>92</v>
      </c>
      <c r="F720" s="27" t="s">
        <v>106</v>
      </c>
      <c r="G720" s="27" t="s">
        <v>116</v>
      </c>
      <c r="H720" s="28" t="n">
        <v>4</v>
      </c>
      <c r="I720" s="29" t="n">
        <v>620</v>
      </c>
      <c r="J720" s="29" t="n">
        <v>2480</v>
      </c>
      <c r="K720" s="29" t="n">
        <f aca="false">H720*I720</f>
        <v>2480</v>
      </c>
      <c r="L720" s="29" t="n">
        <f aca="false">IFERROR(INDEX(Cat_Productos!$B$2:$B$6,MATCH(G720,Cat_Productos!$A$2:$A$6,0)),"")</f>
        <v>290</v>
      </c>
      <c r="M720" s="29" t="n">
        <f aca="false">IF(L720="","",H720*L720)</f>
        <v>1160</v>
      </c>
      <c r="N720" s="29" t="n">
        <f aca="false">IF(M720="","",J720-M720)</f>
        <v>1320</v>
      </c>
      <c r="O720" s="30" t="n">
        <f aca="false">IFERROR(N720/J720,0)</f>
        <v>0.532258064516129</v>
      </c>
      <c r="P720" s="27"/>
      <c r="Q720" s="27" t="s">
        <v>156</v>
      </c>
      <c r="R720" s="27" t="s">
        <v>157</v>
      </c>
      <c r="S720" s="27" t="n">
        <v>52</v>
      </c>
      <c r="T720" s="27"/>
    </row>
    <row r="721" customFormat="false" ht="15" hidden="false" customHeight="false" outlineLevel="0" collapsed="false">
      <c r="A721" s="26" t="n">
        <v>46133</v>
      </c>
      <c r="B721" s="27" t="n">
        <v>2026</v>
      </c>
      <c r="C721" s="27" t="n">
        <v>4</v>
      </c>
      <c r="D721" s="27" t="s">
        <v>83</v>
      </c>
      <c r="E721" s="27" t="s">
        <v>93</v>
      </c>
      <c r="F721" s="27" t="s">
        <v>104</v>
      </c>
      <c r="G721" s="27" t="s">
        <v>117</v>
      </c>
      <c r="H721" s="28" t="n">
        <v>6</v>
      </c>
      <c r="I721" s="29" t="n">
        <v>1450</v>
      </c>
      <c r="J721" s="29" t="n">
        <v>8700</v>
      </c>
      <c r="K721" s="29" t="n">
        <f aca="false">H721*I721</f>
        <v>8700</v>
      </c>
      <c r="L721" s="29" t="n">
        <f aca="false">IFERROR(INDEX(Cat_Productos!$B$2:$B$6,MATCH(G721,Cat_Productos!$A$2:$A$6,0)),"")</f>
        <v>780</v>
      </c>
      <c r="M721" s="29" t="n">
        <f aca="false">IF(L721="","",H721*L721)</f>
        <v>4680</v>
      </c>
      <c r="N721" s="29" t="n">
        <f aca="false">IF(M721="","",J721-M721)</f>
        <v>4020</v>
      </c>
      <c r="O721" s="30" t="n">
        <f aca="false">IFERROR(N721/J721,0)</f>
        <v>0.462068965517241</v>
      </c>
      <c r="P721" s="27"/>
      <c r="Q721" s="27" t="s">
        <v>156</v>
      </c>
      <c r="R721" s="27" t="s">
        <v>158</v>
      </c>
      <c r="S721" s="27" t="n">
        <v>31</v>
      </c>
      <c r="T721" s="27"/>
    </row>
    <row r="722" customFormat="false" ht="15" hidden="false" customHeight="false" outlineLevel="0" collapsed="false">
      <c r="A722" s="26" t="n">
        <v>46133</v>
      </c>
      <c r="B722" s="27" t="n">
        <v>2026</v>
      </c>
      <c r="C722" s="27" t="n">
        <v>4</v>
      </c>
      <c r="D722" s="27" t="s">
        <v>83</v>
      </c>
      <c r="E722" s="27" t="s">
        <v>91</v>
      </c>
      <c r="F722" s="27" t="s">
        <v>103</v>
      </c>
      <c r="G722" s="27" t="s">
        <v>116</v>
      </c>
      <c r="H722" s="28" t="n">
        <v>2</v>
      </c>
      <c r="I722" s="29" t="n">
        <v>620</v>
      </c>
      <c r="J722" s="29" t="n">
        <v>1240</v>
      </c>
      <c r="K722" s="29" t="n">
        <f aca="false">H722*I722</f>
        <v>1240</v>
      </c>
      <c r="L722" s="29" t="n">
        <f aca="false">IFERROR(INDEX(Cat_Productos!$B$2:$B$6,MATCH(G722,Cat_Productos!$A$2:$A$6,0)),"")</f>
        <v>290</v>
      </c>
      <c r="M722" s="29" t="n">
        <f aca="false">IF(L722="","",H722*L722)</f>
        <v>580</v>
      </c>
      <c r="N722" s="29" t="n">
        <f aca="false">IF(M722="","",J722-M722)</f>
        <v>660</v>
      </c>
      <c r="O722" s="30" t="n">
        <f aca="false">IFERROR(N722/J722,0)</f>
        <v>0.532258064516129</v>
      </c>
      <c r="P722" s="27"/>
      <c r="Q722" s="27" t="s">
        <v>156</v>
      </c>
      <c r="R722" s="27" t="s">
        <v>91</v>
      </c>
      <c r="S722" s="27" t="n">
        <v>96</v>
      </c>
      <c r="T722" s="27"/>
    </row>
    <row r="723" customFormat="false" ht="15" hidden="false" customHeight="false" outlineLevel="0" collapsed="false">
      <c r="A723" s="26" t="n">
        <v>46133</v>
      </c>
      <c r="B723" s="27" t="n">
        <v>2026</v>
      </c>
      <c r="C723" s="27" t="n">
        <v>4</v>
      </c>
      <c r="D723" s="27" t="s">
        <v>83</v>
      </c>
      <c r="E723" s="27" t="s">
        <v>91</v>
      </c>
      <c r="F723" s="27" t="s">
        <v>103</v>
      </c>
      <c r="G723" s="27" t="s">
        <v>116</v>
      </c>
      <c r="H723" s="28" t="n">
        <v>6</v>
      </c>
      <c r="I723" s="29" t="n">
        <v>620</v>
      </c>
      <c r="J723" s="29" t="n">
        <v>3720</v>
      </c>
      <c r="K723" s="29" t="n">
        <f aca="false">H723*I723</f>
        <v>3720</v>
      </c>
      <c r="L723" s="29" t="n">
        <f aca="false">IFERROR(INDEX(Cat_Productos!$B$2:$B$6,MATCH(G723,Cat_Productos!$A$2:$A$6,0)),"")</f>
        <v>290</v>
      </c>
      <c r="M723" s="29" t="n">
        <f aca="false">IF(L723="","",H723*L723)</f>
        <v>1740</v>
      </c>
      <c r="N723" s="29" t="n">
        <f aca="false">IF(M723="","",J723-M723)</f>
        <v>1980</v>
      </c>
      <c r="O723" s="30" t="n">
        <f aca="false">IFERROR(N723/J723,0)</f>
        <v>0.532258064516129</v>
      </c>
      <c r="P723" s="27"/>
      <c r="Q723" s="27" t="s">
        <v>156</v>
      </c>
      <c r="R723" s="27" t="s">
        <v>91</v>
      </c>
      <c r="S723" s="27" t="n">
        <v>90</v>
      </c>
      <c r="T723" s="27"/>
    </row>
    <row r="724" customFormat="false" ht="15" hidden="false" customHeight="false" outlineLevel="0" collapsed="false">
      <c r="A724" s="26" t="n">
        <v>46133</v>
      </c>
      <c r="B724" s="27" t="n">
        <v>2026</v>
      </c>
      <c r="C724" s="27" t="n">
        <v>4</v>
      </c>
      <c r="D724" s="27" t="s">
        <v>83</v>
      </c>
      <c r="E724" s="27" t="s">
        <v>91</v>
      </c>
      <c r="F724" s="27" t="s">
        <v>107</v>
      </c>
      <c r="G724" s="27" t="s">
        <v>117</v>
      </c>
      <c r="H724" s="28" t="n">
        <v>2</v>
      </c>
      <c r="I724" s="29" t="n">
        <v>1450</v>
      </c>
      <c r="J724" s="29" t="n">
        <v>2900</v>
      </c>
      <c r="K724" s="29" t="n">
        <f aca="false">H724*I724</f>
        <v>2900</v>
      </c>
      <c r="L724" s="29" t="n">
        <f aca="false">IFERROR(INDEX(Cat_Productos!$B$2:$B$6,MATCH(G724,Cat_Productos!$A$2:$A$6,0)),"")</f>
        <v>780</v>
      </c>
      <c r="M724" s="29" t="n">
        <f aca="false">IF(L724="","",H724*L724)</f>
        <v>1560</v>
      </c>
      <c r="N724" s="29" t="n">
        <f aca="false">IF(M724="","",J724-M724)</f>
        <v>1340</v>
      </c>
      <c r="O724" s="30" t="n">
        <f aca="false">IFERROR(N724/J724,0)</f>
        <v>0.462068965517241</v>
      </c>
      <c r="P724" s="27"/>
      <c r="Q724" s="27" t="s">
        <v>156</v>
      </c>
      <c r="R724" s="27" t="s">
        <v>91</v>
      </c>
      <c r="S724" s="27" t="n">
        <v>23</v>
      </c>
      <c r="T724" s="27"/>
    </row>
    <row r="725" customFormat="false" ht="15" hidden="false" customHeight="false" outlineLevel="0" collapsed="false">
      <c r="A725" s="26" t="n">
        <v>46133</v>
      </c>
      <c r="B725" s="27" t="n">
        <v>2026</v>
      </c>
      <c r="C725" s="27" t="n">
        <v>4</v>
      </c>
      <c r="D725" s="27" t="s">
        <v>83</v>
      </c>
      <c r="E725" s="27" t="s">
        <v>91</v>
      </c>
      <c r="F725" s="27" t="s">
        <v>103</v>
      </c>
      <c r="G725" s="27" t="s">
        <v>117</v>
      </c>
      <c r="H725" s="28" t="n">
        <v>2</v>
      </c>
      <c r="I725" s="29" t="n">
        <v>1450</v>
      </c>
      <c r="J725" s="29" t="n">
        <v>2900</v>
      </c>
      <c r="K725" s="29" t="n">
        <f aca="false">H725*I725</f>
        <v>2900</v>
      </c>
      <c r="L725" s="29" t="n">
        <f aca="false">IFERROR(INDEX(Cat_Productos!$B$2:$B$6,MATCH(G725,Cat_Productos!$A$2:$A$6,0)),"")</f>
        <v>780</v>
      </c>
      <c r="M725" s="29" t="n">
        <f aca="false">IF(L725="","",H725*L725)</f>
        <v>1560</v>
      </c>
      <c r="N725" s="29" t="n">
        <f aca="false">IF(M725="","",J725-M725)</f>
        <v>1340</v>
      </c>
      <c r="O725" s="30" t="n">
        <f aca="false">IFERROR(N725/J725,0)</f>
        <v>0.462068965517241</v>
      </c>
      <c r="P725" s="27"/>
      <c r="Q725" s="27" t="s">
        <v>156</v>
      </c>
      <c r="R725" s="27" t="s">
        <v>91</v>
      </c>
      <c r="S725" s="27" t="n">
        <v>60</v>
      </c>
      <c r="T725" s="27"/>
    </row>
    <row r="726" customFormat="false" ht="15" hidden="false" customHeight="false" outlineLevel="0" collapsed="false">
      <c r="A726" s="26" t="n">
        <v>46133</v>
      </c>
      <c r="B726" s="27" t="n">
        <v>2026</v>
      </c>
      <c r="C726" s="27" t="n">
        <v>4</v>
      </c>
      <c r="D726" s="27" t="s">
        <v>83</v>
      </c>
      <c r="E726" s="27" t="s">
        <v>91</v>
      </c>
      <c r="F726" s="27" t="s">
        <v>107</v>
      </c>
      <c r="G726" s="27" t="s">
        <v>117</v>
      </c>
      <c r="H726" s="28" t="n">
        <v>6</v>
      </c>
      <c r="I726" s="29" t="n">
        <v>1450</v>
      </c>
      <c r="J726" s="29" t="n">
        <v>8700</v>
      </c>
      <c r="K726" s="29" t="n">
        <f aca="false">H726*I726</f>
        <v>8700</v>
      </c>
      <c r="L726" s="29" t="n">
        <f aca="false">IFERROR(INDEX(Cat_Productos!$B$2:$B$6,MATCH(G726,Cat_Productos!$A$2:$A$6,0)),"")</f>
        <v>780</v>
      </c>
      <c r="M726" s="29" t="n">
        <f aca="false">IF(L726="","",H726*L726)</f>
        <v>4680</v>
      </c>
      <c r="N726" s="29" t="n">
        <f aca="false">IF(M726="","",J726-M726)</f>
        <v>4020</v>
      </c>
      <c r="O726" s="30" t="n">
        <f aca="false">IFERROR(N726/J726,0)</f>
        <v>0.462068965517241</v>
      </c>
      <c r="P726" s="27"/>
      <c r="Q726" s="27" t="s">
        <v>156</v>
      </c>
      <c r="R726" s="27" t="s">
        <v>91</v>
      </c>
      <c r="S726" s="27" t="n">
        <v>15</v>
      </c>
      <c r="T726" s="27"/>
    </row>
    <row r="727" customFormat="false" ht="15" hidden="false" customHeight="false" outlineLevel="0" collapsed="false">
      <c r="A727" s="26" t="n">
        <v>46133</v>
      </c>
      <c r="B727" s="27" t="n">
        <v>2026</v>
      </c>
      <c r="C727" s="27" t="n">
        <v>4</v>
      </c>
      <c r="D727" s="27" t="s">
        <v>83</v>
      </c>
      <c r="E727" s="27" t="s">
        <v>91</v>
      </c>
      <c r="F727" s="27" t="s">
        <v>107</v>
      </c>
      <c r="G727" s="27" t="s">
        <v>116</v>
      </c>
      <c r="H727" s="28" t="n">
        <v>2</v>
      </c>
      <c r="I727" s="29" t="n">
        <v>620</v>
      </c>
      <c r="J727" s="29" t="n">
        <v>1240</v>
      </c>
      <c r="K727" s="29" t="n">
        <f aca="false">H727*I727</f>
        <v>1240</v>
      </c>
      <c r="L727" s="29" t="n">
        <f aca="false">IFERROR(INDEX(Cat_Productos!$B$2:$B$6,MATCH(G727,Cat_Productos!$A$2:$A$6,0)),"")</f>
        <v>290</v>
      </c>
      <c r="M727" s="29" t="n">
        <f aca="false">IF(L727="","",H727*L727)</f>
        <v>580</v>
      </c>
      <c r="N727" s="29" t="n">
        <f aca="false">IF(M727="","",J727-M727)</f>
        <v>660</v>
      </c>
      <c r="O727" s="30" t="n">
        <f aca="false">IFERROR(N727/J727,0)</f>
        <v>0.532258064516129</v>
      </c>
      <c r="P727" s="27"/>
      <c r="Q727" s="27" t="s">
        <v>156</v>
      </c>
      <c r="R727" s="27" t="s">
        <v>91</v>
      </c>
      <c r="S727" s="27" t="n">
        <v>31</v>
      </c>
      <c r="T727" s="27"/>
    </row>
    <row r="728" customFormat="false" ht="15" hidden="false" customHeight="false" outlineLevel="0" collapsed="false">
      <c r="A728" s="26" t="n">
        <v>46133</v>
      </c>
      <c r="B728" s="27" t="n">
        <v>2026</v>
      </c>
      <c r="C728" s="27" t="n">
        <v>4</v>
      </c>
      <c r="D728" s="27" t="s">
        <v>83</v>
      </c>
      <c r="E728" s="27" t="s">
        <v>91</v>
      </c>
      <c r="F728" s="27" t="s">
        <v>107</v>
      </c>
      <c r="G728" s="27" t="s">
        <v>116</v>
      </c>
      <c r="H728" s="28" t="n">
        <v>6</v>
      </c>
      <c r="I728" s="29" t="n">
        <v>620</v>
      </c>
      <c r="J728" s="29" t="n">
        <v>3720</v>
      </c>
      <c r="K728" s="29" t="n">
        <f aca="false">H728*I728</f>
        <v>3720</v>
      </c>
      <c r="L728" s="29" t="n">
        <f aca="false">IFERROR(INDEX(Cat_Productos!$B$2:$B$6,MATCH(G728,Cat_Productos!$A$2:$A$6,0)),"")</f>
        <v>290</v>
      </c>
      <c r="M728" s="29" t="n">
        <f aca="false">IF(L728="","",H728*L728)</f>
        <v>1740</v>
      </c>
      <c r="N728" s="29" t="n">
        <f aca="false">IF(M728="","",J728-M728)</f>
        <v>1980</v>
      </c>
      <c r="O728" s="30" t="n">
        <f aca="false">IFERROR(N728/J728,0)</f>
        <v>0.532258064516129</v>
      </c>
      <c r="P728" s="27"/>
      <c r="Q728" s="27" t="s">
        <v>156</v>
      </c>
      <c r="R728" s="27" t="s">
        <v>91</v>
      </c>
      <c r="S728" s="27" t="n">
        <v>29</v>
      </c>
      <c r="T728" s="27"/>
    </row>
    <row r="729" customFormat="false" ht="15" hidden="false" customHeight="false" outlineLevel="0" collapsed="false">
      <c r="A729" s="26" t="n">
        <v>46133</v>
      </c>
      <c r="B729" s="27" t="n">
        <v>2026</v>
      </c>
      <c r="C729" s="27" t="n">
        <v>4</v>
      </c>
      <c r="D729" s="27" t="s">
        <v>83</v>
      </c>
      <c r="E729" s="27" t="s">
        <v>91</v>
      </c>
      <c r="F729" s="27" t="s">
        <v>107</v>
      </c>
      <c r="G729" s="27" t="s">
        <v>117</v>
      </c>
      <c r="H729" s="28" t="n">
        <v>2</v>
      </c>
      <c r="I729" s="29" t="n">
        <v>1450</v>
      </c>
      <c r="J729" s="29" t="n">
        <v>2900</v>
      </c>
      <c r="K729" s="29" t="n">
        <f aca="false">H729*I729</f>
        <v>2900</v>
      </c>
      <c r="L729" s="29" t="n">
        <f aca="false">IFERROR(INDEX(Cat_Productos!$B$2:$B$6,MATCH(G729,Cat_Productos!$A$2:$A$6,0)),"")</f>
        <v>780</v>
      </c>
      <c r="M729" s="29" t="n">
        <f aca="false">IF(L729="","",H729*L729)</f>
        <v>1560</v>
      </c>
      <c r="N729" s="29" t="n">
        <f aca="false">IF(M729="","",J729-M729)</f>
        <v>1340</v>
      </c>
      <c r="O729" s="30" t="n">
        <f aca="false">IFERROR(N729/J729,0)</f>
        <v>0.462068965517241</v>
      </c>
      <c r="P729" s="27"/>
      <c r="Q729" s="27" t="s">
        <v>156</v>
      </c>
      <c r="R729" s="27" t="s">
        <v>91</v>
      </c>
      <c r="S729" s="27" t="n">
        <v>13</v>
      </c>
      <c r="T729" s="27"/>
    </row>
    <row r="730" customFormat="false" ht="15" hidden="false" customHeight="false" outlineLevel="0" collapsed="false">
      <c r="A730" s="26" t="n">
        <v>46134</v>
      </c>
      <c r="B730" s="27" t="n">
        <v>2026</v>
      </c>
      <c r="C730" s="27" t="n">
        <v>4</v>
      </c>
      <c r="D730" s="27" t="s">
        <v>83</v>
      </c>
      <c r="E730" s="27" t="s">
        <v>92</v>
      </c>
      <c r="F730" s="27" t="s">
        <v>105</v>
      </c>
      <c r="G730" s="27" t="s">
        <v>114</v>
      </c>
      <c r="H730" s="28" t="n">
        <v>1</v>
      </c>
      <c r="I730" s="29" t="n">
        <v>24500</v>
      </c>
      <c r="J730" s="29" t="n">
        <v>24500</v>
      </c>
      <c r="K730" s="29" t="n">
        <f aca="false">H730*I730</f>
        <v>24500</v>
      </c>
      <c r="L730" s="29" t="n">
        <f aca="false">IFERROR(INDEX(Cat_Productos!$B$2:$B$6,MATCH(G730,Cat_Productos!$A$2:$A$6,0)),"")</f>
        <v>19200</v>
      </c>
      <c r="M730" s="29" t="n">
        <f aca="false">IF(L730="","",H730*L730)</f>
        <v>19200</v>
      </c>
      <c r="N730" s="29" t="n">
        <f aca="false">IF(M730="","",J730-M730)</f>
        <v>5300</v>
      </c>
      <c r="O730" s="30" t="n">
        <f aca="false">IFERROR(N730/J730,0)</f>
        <v>0.216326530612245</v>
      </c>
      <c r="P730" s="27"/>
      <c r="Q730" s="27" t="s">
        <v>156</v>
      </c>
      <c r="R730" s="27" t="s">
        <v>157</v>
      </c>
      <c r="S730" s="27" t="n">
        <v>7</v>
      </c>
      <c r="T730" s="27"/>
    </row>
    <row r="731" customFormat="false" ht="15" hidden="false" customHeight="false" outlineLevel="0" collapsed="false">
      <c r="A731" s="26" t="n">
        <v>46135</v>
      </c>
      <c r="B731" s="27" t="n">
        <v>2026</v>
      </c>
      <c r="C731" s="27" t="n">
        <v>4</v>
      </c>
      <c r="D731" s="27" t="s">
        <v>83</v>
      </c>
      <c r="E731" s="27" t="s">
        <v>91</v>
      </c>
      <c r="F731" s="27" t="s">
        <v>103</v>
      </c>
      <c r="G731" s="27" t="s">
        <v>117</v>
      </c>
      <c r="H731" s="28" t="n">
        <v>2</v>
      </c>
      <c r="I731" s="29" t="n">
        <v>1450</v>
      </c>
      <c r="J731" s="29" t="n">
        <v>2900</v>
      </c>
      <c r="K731" s="29" t="n">
        <f aca="false">H731*I731</f>
        <v>2900</v>
      </c>
      <c r="L731" s="29" t="n">
        <f aca="false">IFERROR(INDEX(Cat_Productos!$B$2:$B$6,MATCH(G731,Cat_Productos!$A$2:$A$6,0)),"")</f>
        <v>780</v>
      </c>
      <c r="M731" s="29" t="n">
        <f aca="false">IF(L731="","",H731*L731)</f>
        <v>1560</v>
      </c>
      <c r="N731" s="29" t="n">
        <f aca="false">IF(M731="","",J731-M731)</f>
        <v>1340</v>
      </c>
      <c r="O731" s="30" t="n">
        <f aca="false">IFERROR(N731/J731,0)</f>
        <v>0.462068965517241</v>
      </c>
      <c r="P731" s="27"/>
      <c r="Q731" s="27" t="s">
        <v>156</v>
      </c>
      <c r="R731" s="27" t="s">
        <v>91</v>
      </c>
      <c r="S731" s="27" t="n">
        <v>63</v>
      </c>
      <c r="T731" s="27"/>
    </row>
    <row r="732" customFormat="false" ht="15" hidden="false" customHeight="false" outlineLevel="0" collapsed="false">
      <c r="A732" s="26" t="n">
        <v>46135</v>
      </c>
      <c r="B732" s="27" t="n">
        <v>2026</v>
      </c>
      <c r="C732" s="27" t="n">
        <v>4</v>
      </c>
      <c r="D732" s="27" t="s">
        <v>83</v>
      </c>
      <c r="E732" s="27" t="s">
        <v>92</v>
      </c>
      <c r="F732" s="27" t="s">
        <v>106</v>
      </c>
      <c r="G732" s="27" t="s">
        <v>116</v>
      </c>
      <c r="H732" s="28" t="n">
        <v>6</v>
      </c>
      <c r="I732" s="29" t="n">
        <v>620</v>
      </c>
      <c r="J732" s="29" t="n">
        <v>3720</v>
      </c>
      <c r="K732" s="29" t="n">
        <f aca="false">H732*I732</f>
        <v>3720</v>
      </c>
      <c r="L732" s="29" t="n">
        <f aca="false">IFERROR(INDEX(Cat_Productos!$B$2:$B$6,MATCH(G732,Cat_Productos!$A$2:$A$6,0)),"")</f>
        <v>290</v>
      </c>
      <c r="M732" s="29" t="n">
        <f aca="false">IF(L732="","",H732*L732)</f>
        <v>1740</v>
      </c>
      <c r="N732" s="29" t="n">
        <f aca="false">IF(M732="","",J732-M732)</f>
        <v>1980</v>
      </c>
      <c r="O732" s="30" t="n">
        <f aca="false">IFERROR(N732/J732,0)</f>
        <v>0.532258064516129</v>
      </c>
      <c r="P732" s="27"/>
      <c r="Q732" s="27" t="s">
        <v>156</v>
      </c>
      <c r="R732" s="27" t="s">
        <v>157</v>
      </c>
      <c r="S732" s="27" t="n">
        <v>45</v>
      </c>
      <c r="T732" s="27"/>
    </row>
    <row r="733" customFormat="false" ht="15" hidden="false" customHeight="false" outlineLevel="0" collapsed="false">
      <c r="A733" s="26" t="n">
        <v>46135</v>
      </c>
      <c r="B733" s="27" t="n">
        <v>2026</v>
      </c>
      <c r="C733" s="27" t="n">
        <v>4</v>
      </c>
      <c r="D733" s="27" t="s">
        <v>83</v>
      </c>
      <c r="E733" s="27" t="s">
        <v>91</v>
      </c>
      <c r="F733" s="27" t="s">
        <v>103</v>
      </c>
      <c r="G733" s="27" t="s">
        <v>117</v>
      </c>
      <c r="H733" s="28" t="n">
        <v>4</v>
      </c>
      <c r="I733" s="29" t="n">
        <v>1450</v>
      </c>
      <c r="J733" s="29" t="n">
        <v>5800</v>
      </c>
      <c r="K733" s="29" t="n">
        <f aca="false">H733*I733</f>
        <v>5800</v>
      </c>
      <c r="L733" s="29" t="n">
        <f aca="false">IFERROR(INDEX(Cat_Productos!$B$2:$B$6,MATCH(G733,Cat_Productos!$A$2:$A$6,0)),"")</f>
        <v>780</v>
      </c>
      <c r="M733" s="29" t="n">
        <f aca="false">IF(L733="","",H733*L733)</f>
        <v>3120</v>
      </c>
      <c r="N733" s="29" t="n">
        <f aca="false">IF(M733="","",J733-M733)</f>
        <v>2680</v>
      </c>
      <c r="O733" s="30" t="n">
        <f aca="false">IFERROR(N733/J733,0)</f>
        <v>0.462068965517241</v>
      </c>
      <c r="P733" s="27"/>
      <c r="Q733" s="27" t="s">
        <v>156</v>
      </c>
      <c r="R733" s="27" t="s">
        <v>91</v>
      </c>
      <c r="S733" s="27" t="n">
        <v>61</v>
      </c>
      <c r="T733" s="27"/>
    </row>
    <row r="734" customFormat="false" ht="15" hidden="false" customHeight="false" outlineLevel="0" collapsed="false">
      <c r="A734" s="26" t="n">
        <v>46135</v>
      </c>
      <c r="B734" s="27" t="n">
        <v>2026</v>
      </c>
      <c r="C734" s="27" t="n">
        <v>4</v>
      </c>
      <c r="D734" s="27" t="s">
        <v>83</v>
      </c>
      <c r="E734" s="27" t="s">
        <v>92</v>
      </c>
      <c r="F734" s="27" t="s">
        <v>106</v>
      </c>
      <c r="G734" s="27" t="s">
        <v>116</v>
      </c>
      <c r="H734" s="28" t="n">
        <v>6</v>
      </c>
      <c r="I734" s="29" t="n">
        <v>620</v>
      </c>
      <c r="J734" s="29" t="n">
        <v>3720</v>
      </c>
      <c r="K734" s="29" t="n">
        <f aca="false">H734*I734</f>
        <v>3720</v>
      </c>
      <c r="L734" s="29" t="n">
        <f aca="false">IFERROR(INDEX(Cat_Productos!$B$2:$B$6,MATCH(G734,Cat_Productos!$A$2:$A$6,0)),"")</f>
        <v>290</v>
      </c>
      <c r="M734" s="29" t="n">
        <f aca="false">IF(L734="","",H734*L734)</f>
        <v>1740</v>
      </c>
      <c r="N734" s="29" t="n">
        <f aca="false">IF(M734="","",J734-M734)</f>
        <v>1980</v>
      </c>
      <c r="O734" s="30" t="n">
        <f aca="false">IFERROR(N734/J734,0)</f>
        <v>0.532258064516129</v>
      </c>
      <c r="P734" s="27"/>
      <c r="Q734" s="27" t="s">
        <v>156</v>
      </c>
      <c r="R734" s="27" t="s">
        <v>157</v>
      </c>
      <c r="S734" s="27" t="n">
        <v>49</v>
      </c>
      <c r="T734" s="27"/>
    </row>
    <row r="735" customFormat="false" ht="15" hidden="false" customHeight="false" outlineLevel="0" collapsed="false">
      <c r="A735" s="26" t="n">
        <v>46135</v>
      </c>
      <c r="B735" s="27" t="n">
        <v>2026</v>
      </c>
      <c r="C735" s="27" t="n">
        <v>4</v>
      </c>
      <c r="D735" s="27" t="s">
        <v>83</v>
      </c>
      <c r="E735" s="27" t="s">
        <v>92</v>
      </c>
      <c r="F735" s="27" t="s">
        <v>106</v>
      </c>
      <c r="G735" s="27" t="s">
        <v>114</v>
      </c>
      <c r="H735" s="28" t="n">
        <v>1</v>
      </c>
      <c r="I735" s="29" t="n">
        <v>24500</v>
      </c>
      <c r="J735" s="29" t="n">
        <v>24500</v>
      </c>
      <c r="K735" s="29" t="n">
        <f aca="false">H735*I735</f>
        <v>24500</v>
      </c>
      <c r="L735" s="29" t="n">
        <f aca="false">IFERROR(INDEX(Cat_Productos!$B$2:$B$6,MATCH(G735,Cat_Productos!$A$2:$A$6,0)),"")</f>
        <v>19200</v>
      </c>
      <c r="M735" s="29" t="n">
        <f aca="false">IF(L735="","",H735*L735)</f>
        <v>19200</v>
      </c>
      <c r="N735" s="29" t="n">
        <f aca="false">IF(M735="","",J735-M735)</f>
        <v>5300</v>
      </c>
      <c r="O735" s="30" t="n">
        <f aca="false">IFERROR(N735/J735,0)</f>
        <v>0.216326530612245</v>
      </c>
      <c r="P735" s="27"/>
      <c r="Q735" s="27" t="s">
        <v>156</v>
      </c>
      <c r="R735" s="27" t="s">
        <v>157</v>
      </c>
      <c r="S735" s="27" t="n">
        <v>37</v>
      </c>
      <c r="T735" s="27"/>
    </row>
    <row r="736" customFormat="false" ht="15" hidden="false" customHeight="false" outlineLevel="0" collapsed="false">
      <c r="A736" s="26" t="n">
        <v>46135</v>
      </c>
      <c r="B736" s="27" t="n">
        <v>2026</v>
      </c>
      <c r="C736" s="27" t="n">
        <v>4</v>
      </c>
      <c r="D736" s="27" t="s">
        <v>83</v>
      </c>
      <c r="E736" s="27" t="s">
        <v>93</v>
      </c>
      <c r="F736" s="27" t="s">
        <v>104</v>
      </c>
      <c r="G736" s="27" t="s">
        <v>116</v>
      </c>
      <c r="H736" s="28" t="n">
        <v>2</v>
      </c>
      <c r="I736" s="29" t="n">
        <v>620</v>
      </c>
      <c r="J736" s="29" t="n">
        <v>1240</v>
      </c>
      <c r="K736" s="29" t="n">
        <f aca="false">H736*I736</f>
        <v>1240</v>
      </c>
      <c r="L736" s="29" t="n">
        <f aca="false">IFERROR(INDEX(Cat_Productos!$B$2:$B$6,MATCH(G736,Cat_Productos!$A$2:$A$6,0)),"")</f>
        <v>290</v>
      </c>
      <c r="M736" s="29" t="n">
        <f aca="false">IF(L736="","",H736*L736)</f>
        <v>580</v>
      </c>
      <c r="N736" s="29" t="n">
        <f aca="false">IF(M736="","",J736-M736)</f>
        <v>660</v>
      </c>
      <c r="O736" s="30" t="n">
        <f aca="false">IFERROR(N736/J736,0)</f>
        <v>0.532258064516129</v>
      </c>
      <c r="P736" s="27"/>
      <c r="Q736" s="27" t="s">
        <v>156</v>
      </c>
      <c r="R736" s="27" t="s">
        <v>158</v>
      </c>
      <c r="S736" s="27" t="n">
        <v>44</v>
      </c>
      <c r="T736" s="27"/>
    </row>
    <row r="737" customFormat="false" ht="15" hidden="false" customHeight="false" outlineLevel="0" collapsed="false">
      <c r="A737" s="26" t="n">
        <v>46135</v>
      </c>
      <c r="B737" s="27" t="n">
        <v>2026</v>
      </c>
      <c r="C737" s="27" t="n">
        <v>4</v>
      </c>
      <c r="D737" s="27" t="s">
        <v>83</v>
      </c>
      <c r="E737" s="27" t="s">
        <v>92</v>
      </c>
      <c r="F737" s="27" t="s">
        <v>106</v>
      </c>
      <c r="G737" s="27" t="s">
        <v>117</v>
      </c>
      <c r="H737" s="28" t="n">
        <v>6</v>
      </c>
      <c r="I737" s="29" t="n">
        <v>1450</v>
      </c>
      <c r="J737" s="29" t="n">
        <v>8700</v>
      </c>
      <c r="K737" s="29" t="n">
        <f aca="false">H737*I737</f>
        <v>8700</v>
      </c>
      <c r="L737" s="29" t="n">
        <f aca="false">IFERROR(INDEX(Cat_Productos!$B$2:$B$6,MATCH(G737,Cat_Productos!$A$2:$A$6,0)),"")</f>
        <v>780</v>
      </c>
      <c r="M737" s="29" t="n">
        <f aca="false">IF(L737="","",H737*L737)</f>
        <v>4680</v>
      </c>
      <c r="N737" s="29" t="n">
        <f aca="false">IF(M737="","",J737-M737)</f>
        <v>4020</v>
      </c>
      <c r="O737" s="30" t="n">
        <f aca="false">IFERROR(N737/J737,0)</f>
        <v>0.462068965517241</v>
      </c>
      <c r="P737" s="27"/>
      <c r="Q737" s="27" t="s">
        <v>156</v>
      </c>
      <c r="R737" s="27" t="s">
        <v>157</v>
      </c>
      <c r="S737" s="27" t="n">
        <v>41</v>
      </c>
      <c r="T737" s="27"/>
    </row>
    <row r="738" customFormat="false" ht="15" hidden="false" customHeight="false" outlineLevel="0" collapsed="false">
      <c r="A738" s="26" t="n">
        <v>46135</v>
      </c>
      <c r="B738" s="27" t="n">
        <v>2026</v>
      </c>
      <c r="C738" s="27" t="n">
        <v>4</v>
      </c>
      <c r="D738" s="27" t="s">
        <v>83</v>
      </c>
      <c r="E738" s="27" t="s">
        <v>91</v>
      </c>
      <c r="F738" s="27" t="s">
        <v>103</v>
      </c>
      <c r="G738" s="27" t="s">
        <v>116</v>
      </c>
      <c r="H738" s="28" t="n">
        <v>4</v>
      </c>
      <c r="I738" s="29" t="n">
        <v>620</v>
      </c>
      <c r="J738" s="29" t="n">
        <v>2480</v>
      </c>
      <c r="K738" s="29" t="n">
        <f aca="false">H738*I738</f>
        <v>2480</v>
      </c>
      <c r="L738" s="29" t="n">
        <f aca="false">IFERROR(INDEX(Cat_Productos!$B$2:$B$6,MATCH(G738,Cat_Productos!$A$2:$A$6,0)),"")</f>
        <v>290</v>
      </c>
      <c r="M738" s="29" t="n">
        <f aca="false">IF(L738="","",H738*L738)</f>
        <v>1160</v>
      </c>
      <c r="N738" s="29" t="n">
        <f aca="false">IF(M738="","",J738-M738)</f>
        <v>1320</v>
      </c>
      <c r="O738" s="30" t="n">
        <f aca="false">IFERROR(N738/J738,0)</f>
        <v>0.532258064516129</v>
      </c>
      <c r="P738" s="27"/>
      <c r="Q738" s="27" t="s">
        <v>156</v>
      </c>
      <c r="R738" s="27" t="s">
        <v>91</v>
      </c>
      <c r="S738" s="27" t="n">
        <v>73</v>
      </c>
      <c r="T738" s="27"/>
    </row>
    <row r="739" customFormat="false" ht="15" hidden="false" customHeight="false" outlineLevel="0" collapsed="false">
      <c r="A739" s="26" t="n">
        <v>46135</v>
      </c>
      <c r="B739" s="27" t="n">
        <v>2026</v>
      </c>
      <c r="C739" s="27" t="n">
        <v>4</v>
      </c>
      <c r="D739" s="27" t="s">
        <v>83</v>
      </c>
      <c r="E739" s="27" t="s">
        <v>91</v>
      </c>
      <c r="F739" s="27" t="s">
        <v>103</v>
      </c>
      <c r="G739" s="27" t="s">
        <v>117</v>
      </c>
      <c r="H739" s="28" t="n">
        <v>6</v>
      </c>
      <c r="I739" s="29" t="n">
        <v>1450</v>
      </c>
      <c r="J739" s="29" t="n">
        <v>8700</v>
      </c>
      <c r="K739" s="29" t="n">
        <f aca="false">H739*I739</f>
        <v>8700</v>
      </c>
      <c r="L739" s="29" t="n">
        <f aca="false">IFERROR(INDEX(Cat_Productos!$B$2:$B$6,MATCH(G739,Cat_Productos!$A$2:$A$6,0)),"")</f>
        <v>780</v>
      </c>
      <c r="M739" s="29" t="n">
        <f aca="false">IF(L739="","",H739*L739)</f>
        <v>4680</v>
      </c>
      <c r="N739" s="29" t="n">
        <f aca="false">IF(M739="","",J739-M739)</f>
        <v>4020</v>
      </c>
      <c r="O739" s="30" t="n">
        <f aca="false">IFERROR(N739/J739,0)</f>
        <v>0.462068965517241</v>
      </c>
      <c r="P739" s="27"/>
      <c r="Q739" s="27" t="s">
        <v>156</v>
      </c>
      <c r="R739" s="27" t="s">
        <v>91</v>
      </c>
      <c r="S739" s="27" t="n">
        <v>49</v>
      </c>
      <c r="T739" s="27"/>
    </row>
    <row r="740" customFormat="false" ht="15" hidden="false" customHeight="false" outlineLevel="0" collapsed="false">
      <c r="A740" s="26" t="n">
        <v>46135</v>
      </c>
      <c r="B740" s="27" t="n">
        <v>2026</v>
      </c>
      <c r="C740" s="27" t="n">
        <v>4</v>
      </c>
      <c r="D740" s="27" t="s">
        <v>83</v>
      </c>
      <c r="E740" s="27" t="s">
        <v>93</v>
      </c>
      <c r="F740" s="27" t="s">
        <v>104</v>
      </c>
      <c r="G740" s="27" t="s">
        <v>116</v>
      </c>
      <c r="H740" s="28" t="n">
        <v>2</v>
      </c>
      <c r="I740" s="29" t="n">
        <v>620</v>
      </c>
      <c r="J740" s="29" t="n">
        <v>1240</v>
      </c>
      <c r="K740" s="29" t="n">
        <f aca="false">H740*I740</f>
        <v>1240</v>
      </c>
      <c r="L740" s="29" t="n">
        <f aca="false">IFERROR(INDEX(Cat_Productos!$B$2:$B$6,MATCH(G740,Cat_Productos!$A$2:$A$6,0)),"")</f>
        <v>290</v>
      </c>
      <c r="M740" s="29" t="n">
        <f aca="false">IF(L740="","",H740*L740)</f>
        <v>580</v>
      </c>
      <c r="N740" s="29" t="n">
        <f aca="false">IF(M740="","",J740-M740)</f>
        <v>660</v>
      </c>
      <c r="O740" s="30" t="n">
        <f aca="false">IFERROR(N740/J740,0)</f>
        <v>0.532258064516129</v>
      </c>
      <c r="P740" s="27"/>
      <c r="Q740" s="27" t="s">
        <v>156</v>
      </c>
      <c r="R740" s="27" t="s">
        <v>158</v>
      </c>
      <c r="S740" s="27" t="n">
        <v>36</v>
      </c>
      <c r="T740" s="27"/>
    </row>
    <row r="741" customFormat="false" ht="15" hidden="false" customHeight="false" outlineLevel="0" collapsed="false">
      <c r="A741" s="26" t="n">
        <v>46135</v>
      </c>
      <c r="B741" s="27" t="n">
        <v>2026</v>
      </c>
      <c r="C741" s="27" t="n">
        <v>4</v>
      </c>
      <c r="D741" s="27" t="s">
        <v>83</v>
      </c>
      <c r="E741" s="27" t="s">
        <v>93</v>
      </c>
      <c r="F741" s="27" t="s">
        <v>104</v>
      </c>
      <c r="G741" s="27" t="s">
        <v>117</v>
      </c>
      <c r="H741" s="28" t="n">
        <v>6</v>
      </c>
      <c r="I741" s="29" t="n">
        <v>1450</v>
      </c>
      <c r="J741" s="29" t="n">
        <v>8700</v>
      </c>
      <c r="K741" s="29" t="n">
        <f aca="false">H741*I741</f>
        <v>8700</v>
      </c>
      <c r="L741" s="29" t="n">
        <f aca="false">IFERROR(INDEX(Cat_Productos!$B$2:$B$6,MATCH(G741,Cat_Productos!$A$2:$A$6,0)),"")</f>
        <v>780</v>
      </c>
      <c r="M741" s="29" t="n">
        <f aca="false">IF(L741="","",H741*L741)</f>
        <v>4680</v>
      </c>
      <c r="N741" s="29" t="n">
        <f aca="false">IF(M741="","",J741-M741)</f>
        <v>4020</v>
      </c>
      <c r="O741" s="30" t="n">
        <f aca="false">IFERROR(N741/J741,0)</f>
        <v>0.462068965517241</v>
      </c>
      <c r="P741" s="27"/>
      <c r="Q741" s="27" t="s">
        <v>156</v>
      </c>
      <c r="R741" s="27" t="s">
        <v>158</v>
      </c>
      <c r="S741" s="27" t="n">
        <v>28</v>
      </c>
      <c r="T741" s="27"/>
    </row>
    <row r="742" customFormat="false" ht="15" hidden="false" customHeight="false" outlineLevel="0" collapsed="false">
      <c r="A742" s="26" t="n">
        <v>46135</v>
      </c>
      <c r="B742" s="27" t="n">
        <v>2026</v>
      </c>
      <c r="C742" s="27" t="n">
        <v>4</v>
      </c>
      <c r="D742" s="27" t="s">
        <v>83</v>
      </c>
      <c r="E742" s="27" t="s">
        <v>91</v>
      </c>
      <c r="F742" s="27" t="s">
        <v>107</v>
      </c>
      <c r="G742" s="27" t="s">
        <v>117</v>
      </c>
      <c r="H742" s="28" t="n">
        <v>2</v>
      </c>
      <c r="I742" s="29" t="n">
        <v>1450</v>
      </c>
      <c r="J742" s="29" t="n">
        <v>2900</v>
      </c>
      <c r="K742" s="29" t="n">
        <f aca="false">H742*I742</f>
        <v>2900</v>
      </c>
      <c r="L742" s="29" t="n">
        <f aca="false">IFERROR(INDEX(Cat_Productos!$B$2:$B$6,MATCH(G742,Cat_Productos!$A$2:$A$6,0)),"")</f>
        <v>780</v>
      </c>
      <c r="M742" s="29" t="n">
        <f aca="false">IF(L742="","",H742*L742)</f>
        <v>1560</v>
      </c>
      <c r="N742" s="29" t="n">
        <f aca="false">IF(M742="","",J742-M742)</f>
        <v>1340</v>
      </c>
      <c r="O742" s="30" t="n">
        <f aca="false">IFERROR(N742/J742,0)</f>
        <v>0.462068965517241</v>
      </c>
      <c r="P742" s="27"/>
      <c r="Q742" s="27" t="s">
        <v>156</v>
      </c>
      <c r="R742" s="27" t="s">
        <v>91</v>
      </c>
      <c r="S742" s="27" t="n">
        <v>16</v>
      </c>
      <c r="T742" s="27"/>
    </row>
    <row r="743" customFormat="false" ht="15" hidden="false" customHeight="false" outlineLevel="0" collapsed="false">
      <c r="A743" s="26" t="n">
        <v>46136</v>
      </c>
      <c r="B743" s="27" t="n">
        <v>2026</v>
      </c>
      <c r="C743" s="27" t="n">
        <v>4</v>
      </c>
      <c r="D743" s="27" t="s">
        <v>83</v>
      </c>
      <c r="E743" s="27" t="s">
        <v>92</v>
      </c>
      <c r="F743" s="27" t="s">
        <v>105</v>
      </c>
      <c r="G743" s="27" t="s">
        <v>115</v>
      </c>
      <c r="H743" s="28" t="n">
        <v>5</v>
      </c>
      <c r="I743" s="29" t="n">
        <v>6200</v>
      </c>
      <c r="J743" s="29" t="n">
        <v>31000</v>
      </c>
      <c r="K743" s="29" t="n">
        <f aca="false">H743*I743</f>
        <v>31000</v>
      </c>
      <c r="L743" s="29" t="n">
        <f aca="false">IFERROR(INDEX(Cat_Productos!$B$2:$B$6,MATCH(G743,Cat_Productos!$A$2:$A$6,0)),"")</f>
        <v>4100</v>
      </c>
      <c r="M743" s="29" t="n">
        <f aca="false">IF(L743="","",H743*L743)</f>
        <v>20500</v>
      </c>
      <c r="N743" s="29" t="n">
        <f aca="false">IF(M743="","",J743-M743)</f>
        <v>10500</v>
      </c>
      <c r="O743" s="30" t="n">
        <f aca="false">IFERROR(N743/J743,0)</f>
        <v>0.338709677419355</v>
      </c>
      <c r="P743" s="27"/>
      <c r="Q743" s="27" t="s">
        <v>156</v>
      </c>
      <c r="R743" s="27" t="s">
        <v>157</v>
      </c>
      <c r="S743" s="27" t="n">
        <v>12</v>
      </c>
      <c r="T743" s="27"/>
    </row>
    <row r="744" customFormat="false" ht="15" hidden="false" customHeight="false" outlineLevel="0" collapsed="false">
      <c r="A744" s="26" t="n">
        <v>46137</v>
      </c>
      <c r="B744" s="27" t="n">
        <v>2026</v>
      </c>
      <c r="C744" s="27" t="n">
        <v>4</v>
      </c>
      <c r="D744" s="27" t="s">
        <v>83</v>
      </c>
      <c r="E744" s="27" t="s">
        <v>93</v>
      </c>
      <c r="F744" s="27" t="s">
        <v>104</v>
      </c>
      <c r="G744" s="27" t="s">
        <v>117</v>
      </c>
      <c r="H744" s="28" t="n">
        <v>4</v>
      </c>
      <c r="I744" s="29" t="n">
        <v>1450</v>
      </c>
      <c r="J744" s="29" t="n">
        <v>5800</v>
      </c>
      <c r="K744" s="29" t="n">
        <f aca="false">H744*I744</f>
        <v>5800</v>
      </c>
      <c r="L744" s="29" t="n">
        <f aca="false">IFERROR(INDEX(Cat_Productos!$B$2:$B$6,MATCH(G744,Cat_Productos!$A$2:$A$6,0)),"")</f>
        <v>780</v>
      </c>
      <c r="M744" s="29" t="n">
        <f aca="false">IF(L744="","",H744*L744)</f>
        <v>3120</v>
      </c>
      <c r="N744" s="29" t="n">
        <f aca="false">IF(M744="","",J744-M744)</f>
        <v>2680</v>
      </c>
      <c r="O744" s="30" t="n">
        <f aca="false">IFERROR(N744/J744,0)</f>
        <v>0.462068965517241</v>
      </c>
      <c r="P744" s="27"/>
      <c r="Q744" s="27" t="s">
        <v>156</v>
      </c>
      <c r="R744" s="27" t="s">
        <v>158</v>
      </c>
      <c r="S744" s="27" t="n">
        <v>27</v>
      </c>
      <c r="T744" s="27"/>
    </row>
    <row r="745" customFormat="false" ht="15" hidden="false" customHeight="false" outlineLevel="0" collapsed="false">
      <c r="A745" s="26" t="n">
        <v>46137</v>
      </c>
      <c r="B745" s="27" t="n">
        <v>2026</v>
      </c>
      <c r="C745" s="27" t="n">
        <v>4</v>
      </c>
      <c r="D745" s="27" t="s">
        <v>83</v>
      </c>
      <c r="E745" s="27" t="s">
        <v>92</v>
      </c>
      <c r="F745" s="27" t="s">
        <v>106</v>
      </c>
      <c r="G745" s="27" t="s">
        <v>116</v>
      </c>
      <c r="H745" s="28" t="n">
        <v>6</v>
      </c>
      <c r="I745" s="29" t="n">
        <v>620</v>
      </c>
      <c r="J745" s="29" t="n">
        <v>3720</v>
      </c>
      <c r="K745" s="29" t="n">
        <f aca="false">H745*I745</f>
        <v>3720</v>
      </c>
      <c r="L745" s="29" t="n">
        <f aca="false">IFERROR(INDEX(Cat_Productos!$B$2:$B$6,MATCH(G745,Cat_Productos!$A$2:$A$6,0)),"")</f>
        <v>290</v>
      </c>
      <c r="M745" s="29" t="n">
        <f aca="false">IF(L745="","",H745*L745)</f>
        <v>1740</v>
      </c>
      <c r="N745" s="29" t="n">
        <f aca="false">IF(M745="","",J745-M745)</f>
        <v>1980</v>
      </c>
      <c r="O745" s="30" t="n">
        <f aca="false">IFERROR(N745/J745,0)</f>
        <v>0.532258064516129</v>
      </c>
      <c r="P745" s="27"/>
      <c r="Q745" s="27" t="s">
        <v>156</v>
      </c>
      <c r="R745" s="27" t="s">
        <v>157</v>
      </c>
      <c r="S745" s="27" t="n">
        <v>48</v>
      </c>
      <c r="T745" s="27"/>
    </row>
    <row r="746" customFormat="false" ht="15" hidden="false" customHeight="false" outlineLevel="0" collapsed="false">
      <c r="A746" s="26" t="n">
        <v>46137</v>
      </c>
      <c r="B746" s="27" t="n">
        <v>2026</v>
      </c>
      <c r="C746" s="27" t="n">
        <v>4</v>
      </c>
      <c r="D746" s="27" t="s">
        <v>83</v>
      </c>
      <c r="E746" s="27" t="s">
        <v>93</v>
      </c>
      <c r="F746" s="27" t="s">
        <v>104</v>
      </c>
      <c r="G746" s="27" t="s">
        <v>116</v>
      </c>
      <c r="H746" s="28" t="n">
        <v>2</v>
      </c>
      <c r="I746" s="29" t="n">
        <v>620</v>
      </c>
      <c r="J746" s="29" t="n">
        <v>1240</v>
      </c>
      <c r="K746" s="29" t="n">
        <f aca="false">H746*I746</f>
        <v>1240</v>
      </c>
      <c r="L746" s="29" t="n">
        <f aca="false">IFERROR(INDEX(Cat_Productos!$B$2:$B$6,MATCH(G746,Cat_Productos!$A$2:$A$6,0)),"")</f>
        <v>290</v>
      </c>
      <c r="M746" s="29" t="n">
        <f aca="false">IF(L746="","",H746*L746)</f>
        <v>580</v>
      </c>
      <c r="N746" s="29" t="n">
        <f aca="false">IF(M746="","",J746-M746)</f>
        <v>660</v>
      </c>
      <c r="O746" s="30" t="n">
        <f aca="false">IFERROR(N746/J746,0)</f>
        <v>0.532258064516129</v>
      </c>
      <c r="P746" s="27"/>
      <c r="Q746" s="27" t="s">
        <v>156</v>
      </c>
      <c r="R746" s="27" t="s">
        <v>158</v>
      </c>
      <c r="S746" s="27" t="n">
        <v>35</v>
      </c>
      <c r="T746" s="27"/>
    </row>
    <row r="747" customFormat="false" ht="15" hidden="false" customHeight="false" outlineLevel="0" collapsed="false">
      <c r="A747" s="26" t="n">
        <v>46137</v>
      </c>
      <c r="B747" s="27" t="n">
        <v>2026</v>
      </c>
      <c r="C747" s="27" t="n">
        <v>4</v>
      </c>
      <c r="D747" s="27" t="s">
        <v>83</v>
      </c>
      <c r="E747" s="27" t="s">
        <v>91</v>
      </c>
      <c r="F747" s="27" t="s">
        <v>103</v>
      </c>
      <c r="G747" s="27" t="s">
        <v>116</v>
      </c>
      <c r="H747" s="28" t="n">
        <v>2</v>
      </c>
      <c r="I747" s="29" t="n">
        <v>620</v>
      </c>
      <c r="J747" s="29" t="n">
        <v>1240</v>
      </c>
      <c r="K747" s="29" t="n">
        <f aca="false">H747*I747</f>
        <v>1240</v>
      </c>
      <c r="L747" s="29" t="n">
        <f aca="false">IFERROR(INDEX(Cat_Productos!$B$2:$B$6,MATCH(G747,Cat_Productos!$A$2:$A$6,0)),"")</f>
        <v>290</v>
      </c>
      <c r="M747" s="29" t="n">
        <f aca="false">IF(L747="","",H747*L747)</f>
        <v>580</v>
      </c>
      <c r="N747" s="29" t="n">
        <f aca="false">IF(M747="","",J747-M747)</f>
        <v>660</v>
      </c>
      <c r="O747" s="30" t="n">
        <f aca="false">IFERROR(N747/J747,0)</f>
        <v>0.532258064516129</v>
      </c>
      <c r="P747" s="27"/>
      <c r="Q747" s="27" t="s">
        <v>156</v>
      </c>
      <c r="R747" s="27" t="s">
        <v>91</v>
      </c>
      <c r="S747" s="27" t="n">
        <v>86</v>
      </c>
      <c r="T747" s="27"/>
    </row>
    <row r="748" customFormat="false" ht="15" hidden="false" customHeight="false" outlineLevel="0" collapsed="false">
      <c r="A748" s="26" t="n">
        <v>46137</v>
      </c>
      <c r="B748" s="27" t="n">
        <v>2026</v>
      </c>
      <c r="C748" s="27" t="n">
        <v>4</v>
      </c>
      <c r="D748" s="27" t="s">
        <v>83</v>
      </c>
      <c r="E748" s="27" t="s">
        <v>91</v>
      </c>
      <c r="F748" s="27" t="s">
        <v>107</v>
      </c>
      <c r="G748" s="27" t="s">
        <v>117</v>
      </c>
      <c r="H748" s="28" t="n">
        <v>4</v>
      </c>
      <c r="I748" s="29" t="n">
        <v>1450</v>
      </c>
      <c r="J748" s="29" t="n">
        <v>5800</v>
      </c>
      <c r="K748" s="29" t="n">
        <f aca="false">H748*I748</f>
        <v>5800</v>
      </c>
      <c r="L748" s="29" t="n">
        <f aca="false">IFERROR(INDEX(Cat_Productos!$B$2:$B$6,MATCH(G748,Cat_Productos!$A$2:$A$6,0)),"")</f>
        <v>780</v>
      </c>
      <c r="M748" s="29" t="n">
        <f aca="false">IF(L748="","",H748*L748)</f>
        <v>3120</v>
      </c>
      <c r="N748" s="29" t="n">
        <f aca="false">IF(M748="","",J748-M748)</f>
        <v>2680</v>
      </c>
      <c r="O748" s="30" t="n">
        <f aca="false">IFERROR(N748/J748,0)</f>
        <v>0.462068965517241</v>
      </c>
      <c r="P748" s="27"/>
      <c r="Q748" s="27" t="s">
        <v>156</v>
      </c>
      <c r="R748" s="27" t="s">
        <v>91</v>
      </c>
      <c r="S748" s="27" t="n">
        <v>19</v>
      </c>
      <c r="T748" s="27"/>
    </row>
    <row r="749" customFormat="false" ht="15" hidden="false" customHeight="false" outlineLevel="0" collapsed="false">
      <c r="A749" s="26" t="n">
        <v>46138</v>
      </c>
      <c r="B749" s="27" t="n">
        <v>2026</v>
      </c>
      <c r="C749" s="27" t="n">
        <v>4</v>
      </c>
      <c r="D749" s="27" t="s">
        <v>83</v>
      </c>
      <c r="E749" s="27" t="s">
        <v>92</v>
      </c>
      <c r="F749" s="27" t="s">
        <v>105</v>
      </c>
      <c r="G749" s="27" t="s">
        <v>118</v>
      </c>
      <c r="H749" s="28" t="n">
        <v>3</v>
      </c>
      <c r="I749" s="29" t="n">
        <v>1180</v>
      </c>
      <c r="J749" s="29" t="n">
        <v>3540</v>
      </c>
      <c r="K749" s="29" t="n">
        <f aca="false">H749*I749</f>
        <v>3540</v>
      </c>
      <c r="L749" s="29" t="n">
        <f aca="false">IFERROR(INDEX(Cat_Productos!$B$2:$B$6,MATCH(G749,Cat_Productos!$A$2:$A$6,0)),"")</f>
        <v>590</v>
      </c>
      <c r="M749" s="29" t="n">
        <f aca="false">IF(L749="","",H749*L749)</f>
        <v>1770</v>
      </c>
      <c r="N749" s="29" t="n">
        <f aca="false">IF(M749="","",J749-M749)</f>
        <v>1770</v>
      </c>
      <c r="O749" s="30" t="n">
        <f aca="false">IFERROR(N749/J749,0)</f>
        <v>0.5</v>
      </c>
      <c r="P749" s="27"/>
      <c r="Q749" s="27" t="s">
        <v>156</v>
      </c>
      <c r="R749" s="27" t="s">
        <v>157</v>
      </c>
      <c r="S749" s="27" t="n">
        <v>21</v>
      </c>
      <c r="T749" s="27"/>
    </row>
    <row r="750" customFormat="false" ht="15" hidden="false" customHeight="false" outlineLevel="0" collapsed="false">
      <c r="A750" s="26" t="n">
        <v>46138</v>
      </c>
      <c r="B750" s="27" t="n">
        <v>2026</v>
      </c>
      <c r="C750" s="27" t="n">
        <v>4</v>
      </c>
      <c r="D750" s="27" t="s">
        <v>83</v>
      </c>
      <c r="E750" s="27" t="s">
        <v>92</v>
      </c>
      <c r="F750" s="27" t="s">
        <v>105</v>
      </c>
      <c r="G750" s="27" t="s">
        <v>118</v>
      </c>
      <c r="H750" s="28" t="n">
        <v>5</v>
      </c>
      <c r="I750" s="29" t="n">
        <v>1180</v>
      </c>
      <c r="J750" s="29" t="n">
        <v>5900</v>
      </c>
      <c r="K750" s="29" t="n">
        <f aca="false">H750*I750</f>
        <v>5900</v>
      </c>
      <c r="L750" s="29" t="n">
        <f aca="false">IFERROR(INDEX(Cat_Productos!$B$2:$B$6,MATCH(G750,Cat_Productos!$A$2:$A$6,0)),"")</f>
        <v>590</v>
      </c>
      <c r="M750" s="29" t="n">
        <f aca="false">IF(L750="","",H750*L750)</f>
        <v>2950</v>
      </c>
      <c r="N750" s="29" t="n">
        <f aca="false">IF(M750="","",J750-M750)</f>
        <v>2950</v>
      </c>
      <c r="O750" s="30" t="n">
        <f aca="false">IFERROR(N750/J750,0)</f>
        <v>0.5</v>
      </c>
      <c r="P750" s="27"/>
      <c r="Q750" s="27" t="s">
        <v>156</v>
      </c>
      <c r="R750" s="27" t="s">
        <v>157</v>
      </c>
      <c r="S750" s="27" t="n">
        <v>23</v>
      </c>
      <c r="T750" s="27"/>
    </row>
    <row r="751" customFormat="false" ht="15" hidden="false" customHeight="false" outlineLevel="0" collapsed="false">
      <c r="A751" s="26" t="n">
        <v>46138</v>
      </c>
      <c r="B751" s="27" t="n">
        <v>2026</v>
      </c>
      <c r="C751" s="27" t="n">
        <v>4</v>
      </c>
      <c r="D751" s="27" t="s">
        <v>83</v>
      </c>
      <c r="E751" s="27" t="s">
        <v>93</v>
      </c>
      <c r="F751" s="27" t="s">
        <v>108</v>
      </c>
      <c r="G751" s="27" t="s">
        <v>114</v>
      </c>
      <c r="H751" s="28" t="n">
        <v>3</v>
      </c>
      <c r="I751" s="29" t="n">
        <v>24500</v>
      </c>
      <c r="J751" s="29" t="n">
        <v>73500</v>
      </c>
      <c r="K751" s="29" t="n">
        <f aca="false">H751*I751</f>
        <v>73500</v>
      </c>
      <c r="L751" s="29" t="n">
        <f aca="false">IFERROR(INDEX(Cat_Productos!$B$2:$B$6,MATCH(G751,Cat_Productos!$A$2:$A$6,0)),"")</f>
        <v>19200</v>
      </c>
      <c r="M751" s="29" t="n">
        <f aca="false">IF(L751="","",H751*L751)</f>
        <v>57600</v>
      </c>
      <c r="N751" s="29" t="n">
        <f aca="false">IF(M751="","",J751-M751)</f>
        <v>15900</v>
      </c>
      <c r="O751" s="30" t="n">
        <f aca="false">IFERROR(N751/J751,0)</f>
        <v>0.216326530612245</v>
      </c>
      <c r="P751" s="27"/>
      <c r="Q751" s="27" t="s">
        <v>156</v>
      </c>
      <c r="R751" s="27" t="s">
        <v>158</v>
      </c>
      <c r="S751" s="27" t="n">
        <v>8</v>
      </c>
      <c r="T751" s="27"/>
    </row>
    <row r="752" customFormat="false" ht="15" hidden="false" customHeight="false" outlineLevel="0" collapsed="false">
      <c r="A752" s="26" t="n">
        <v>46138</v>
      </c>
      <c r="B752" s="27" t="n">
        <v>2026</v>
      </c>
      <c r="C752" s="27" t="n">
        <v>4</v>
      </c>
      <c r="D752" s="27" t="s">
        <v>83</v>
      </c>
      <c r="E752" s="27" t="s">
        <v>92</v>
      </c>
      <c r="F752" s="27" t="s">
        <v>105</v>
      </c>
      <c r="G752" s="27" t="s">
        <v>118</v>
      </c>
      <c r="H752" s="28" t="n">
        <v>3</v>
      </c>
      <c r="I752" s="29" t="n">
        <v>1180</v>
      </c>
      <c r="J752" s="29" t="n">
        <v>3540</v>
      </c>
      <c r="K752" s="29" t="n">
        <f aca="false">H752*I752</f>
        <v>3540</v>
      </c>
      <c r="L752" s="29" t="n">
        <f aca="false">IFERROR(INDEX(Cat_Productos!$B$2:$B$6,MATCH(G752,Cat_Productos!$A$2:$A$6,0)),"")</f>
        <v>590</v>
      </c>
      <c r="M752" s="29" t="n">
        <f aca="false">IF(L752="","",H752*L752)</f>
        <v>1770</v>
      </c>
      <c r="N752" s="29" t="n">
        <f aca="false">IF(M752="","",J752-M752)</f>
        <v>1770</v>
      </c>
      <c r="O752" s="30" t="n">
        <f aca="false">IFERROR(N752/J752,0)</f>
        <v>0.5</v>
      </c>
      <c r="P752" s="27"/>
      <c r="Q752" s="27" t="s">
        <v>156</v>
      </c>
      <c r="R752" s="27" t="s">
        <v>157</v>
      </c>
      <c r="S752" s="27" t="n">
        <v>27</v>
      </c>
      <c r="T752" s="27"/>
    </row>
    <row r="753" customFormat="false" ht="15" hidden="false" customHeight="false" outlineLevel="0" collapsed="false">
      <c r="A753" s="26" t="n">
        <v>46139</v>
      </c>
      <c r="B753" s="27" t="n">
        <v>2026</v>
      </c>
      <c r="C753" s="27" t="n">
        <v>4</v>
      </c>
      <c r="D753" s="27" t="s">
        <v>83</v>
      </c>
      <c r="E753" s="27" t="s">
        <v>93</v>
      </c>
      <c r="F753" s="27" t="s">
        <v>104</v>
      </c>
      <c r="G753" s="27" t="s">
        <v>116</v>
      </c>
      <c r="H753" s="28" t="n">
        <v>4</v>
      </c>
      <c r="I753" s="29" t="n">
        <v>620</v>
      </c>
      <c r="J753" s="29" t="n">
        <v>2480</v>
      </c>
      <c r="K753" s="29" t="n">
        <f aca="false">H753*I753</f>
        <v>2480</v>
      </c>
      <c r="L753" s="29" t="n">
        <f aca="false">IFERROR(INDEX(Cat_Productos!$B$2:$B$6,MATCH(G753,Cat_Productos!$A$2:$A$6,0)),"")</f>
        <v>290</v>
      </c>
      <c r="M753" s="29" t="n">
        <f aca="false">IF(L753="","",H753*L753)</f>
        <v>1160</v>
      </c>
      <c r="N753" s="29" t="n">
        <f aca="false">IF(M753="","",J753-M753)</f>
        <v>1320</v>
      </c>
      <c r="O753" s="30" t="n">
        <f aca="false">IFERROR(N753/J753,0)</f>
        <v>0.532258064516129</v>
      </c>
      <c r="P753" s="27"/>
      <c r="Q753" s="27" t="s">
        <v>156</v>
      </c>
      <c r="R753" s="27" t="s">
        <v>158</v>
      </c>
      <c r="S753" s="27" t="n">
        <v>40</v>
      </c>
      <c r="T753" s="27"/>
    </row>
    <row r="754" customFormat="false" ht="15" hidden="false" customHeight="false" outlineLevel="0" collapsed="false">
      <c r="A754" s="26" t="n">
        <v>46139</v>
      </c>
      <c r="B754" s="27" t="n">
        <v>2026</v>
      </c>
      <c r="C754" s="27" t="n">
        <v>4</v>
      </c>
      <c r="D754" s="27" t="s">
        <v>83</v>
      </c>
      <c r="E754" s="27" t="s">
        <v>91</v>
      </c>
      <c r="F754" s="27" t="s">
        <v>107</v>
      </c>
      <c r="G754" s="27" t="s">
        <v>114</v>
      </c>
      <c r="H754" s="28" t="n">
        <v>6</v>
      </c>
      <c r="I754" s="29" t="n">
        <v>24500</v>
      </c>
      <c r="J754" s="29" t="n">
        <v>147000</v>
      </c>
      <c r="K754" s="29" t="n">
        <f aca="false">H754*I754</f>
        <v>147000</v>
      </c>
      <c r="L754" s="29" t="n">
        <f aca="false">IFERROR(INDEX(Cat_Productos!$B$2:$B$6,MATCH(G754,Cat_Productos!$A$2:$A$6,0)),"")</f>
        <v>19200</v>
      </c>
      <c r="M754" s="29" t="n">
        <f aca="false">IF(L754="","",H754*L754)</f>
        <v>115200</v>
      </c>
      <c r="N754" s="29" t="n">
        <f aca="false">IF(M754="","",J754-M754)</f>
        <v>31800</v>
      </c>
      <c r="O754" s="30" t="n">
        <f aca="false">IFERROR(N754/J754,0)</f>
        <v>0.216326530612245</v>
      </c>
      <c r="P754" s="27"/>
      <c r="Q754" s="27" t="s">
        <v>156</v>
      </c>
      <c r="R754" s="27" t="s">
        <v>91</v>
      </c>
      <c r="S754" s="27" t="n">
        <v>4</v>
      </c>
      <c r="T754" s="27"/>
    </row>
    <row r="755" customFormat="false" ht="15" hidden="false" customHeight="false" outlineLevel="0" collapsed="false">
      <c r="A755" s="26" t="n">
        <v>46139</v>
      </c>
      <c r="B755" s="27" t="n">
        <v>2026</v>
      </c>
      <c r="C755" s="27" t="n">
        <v>4</v>
      </c>
      <c r="D755" s="27" t="s">
        <v>83</v>
      </c>
      <c r="E755" s="27" t="s">
        <v>93</v>
      </c>
      <c r="F755" s="27" t="s">
        <v>104</v>
      </c>
      <c r="G755" s="27" t="s">
        <v>117</v>
      </c>
      <c r="H755" s="28" t="n">
        <v>2</v>
      </c>
      <c r="I755" s="29" t="n">
        <v>1450</v>
      </c>
      <c r="J755" s="29" t="n">
        <v>2900</v>
      </c>
      <c r="K755" s="29" t="n">
        <f aca="false">H755*I755</f>
        <v>2900</v>
      </c>
      <c r="L755" s="29" t="n">
        <f aca="false">IFERROR(INDEX(Cat_Productos!$B$2:$B$6,MATCH(G755,Cat_Productos!$A$2:$A$6,0)),"")</f>
        <v>780</v>
      </c>
      <c r="M755" s="29" t="n">
        <f aca="false">IF(L755="","",H755*L755)</f>
        <v>1560</v>
      </c>
      <c r="N755" s="29" t="n">
        <f aca="false">IF(M755="","",J755-M755)</f>
        <v>1340</v>
      </c>
      <c r="O755" s="30" t="n">
        <f aca="false">IFERROR(N755/J755,0)</f>
        <v>0.462068965517241</v>
      </c>
      <c r="P755" s="27"/>
      <c r="Q755" s="27" t="s">
        <v>156</v>
      </c>
      <c r="R755" s="27" t="s">
        <v>158</v>
      </c>
      <c r="S755" s="27" t="n">
        <v>30</v>
      </c>
      <c r="T755" s="27"/>
    </row>
    <row r="756" customFormat="false" ht="15" hidden="false" customHeight="false" outlineLevel="0" collapsed="false">
      <c r="A756" s="26" t="n">
        <v>46139</v>
      </c>
      <c r="B756" s="27" t="n">
        <v>2026</v>
      </c>
      <c r="C756" s="27" t="n">
        <v>4</v>
      </c>
      <c r="D756" s="27" t="s">
        <v>83</v>
      </c>
      <c r="E756" s="27" t="s">
        <v>91</v>
      </c>
      <c r="F756" s="27" t="s">
        <v>107</v>
      </c>
      <c r="G756" s="27" t="s">
        <v>114</v>
      </c>
      <c r="H756" s="28" t="n">
        <v>2</v>
      </c>
      <c r="I756" s="29" t="n">
        <v>24500</v>
      </c>
      <c r="J756" s="29" t="n">
        <v>49000</v>
      </c>
      <c r="K756" s="29" t="n">
        <f aca="false">H756*I756</f>
        <v>49000</v>
      </c>
      <c r="L756" s="29" t="n">
        <f aca="false">IFERROR(INDEX(Cat_Productos!$B$2:$B$6,MATCH(G756,Cat_Productos!$A$2:$A$6,0)),"")</f>
        <v>19200</v>
      </c>
      <c r="M756" s="29" t="n">
        <f aca="false">IF(L756="","",H756*L756)</f>
        <v>38400</v>
      </c>
      <c r="N756" s="29" t="n">
        <f aca="false">IF(M756="","",J756-M756)</f>
        <v>10600</v>
      </c>
      <c r="O756" s="30" t="n">
        <f aca="false">IFERROR(N756/J756,0)</f>
        <v>0.216326530612245</v>
      </c>
      <c r="P756" s="27"/>
      <c r="Q756" s="27" t="s">
        <v>156</v>
      </c>
      <c r="R756" s="27" t="s">
        <v>91</v>
      </c>
      <c r="S756" s="27" t="n">
        <v>8</v>
      </c>
      <c r="T756" s="27"/>
    </row>
    <row r="757" customFormat="false" ht="15" hidden="false" customHeight="false" outlineLevel="0" collapsed="false">
      <c r="A757" s="26" t="n">
        <v>46139</v>
      </c>
      <c r="B757" s="27" t="n">
        <v>2026</v>
      </c>
      <c r="C757" s="27" t="n">
        <v>4</v>
      </c>
      <c r="D757" s="27" t="s">
        <v>83</v>
      </c>
      <c r="E757" s="27" t="s">
        <v>91</v>
      </c>
      <c r="F757" s="27" t="s">
        <v>107</v>
      </c>
      <c r="G757" s="27" t="s">
        <v>117</v>
      </c>
      <c r="H757" s="28" t="n">
        <v>4</v>
      </c>
      <c r="I757" s="29" t="n">
        <v>1450</v>
      </c>
      <c r="J757" s="29" t="n">
        <v>5800</v>
      </c>
      <c r="K757" s="29" t="n">
        <f aca="false">H757*I757</f>
        <v>5800</v>
      </c>
      <c r="L757" s="29" t="n">
        <f aca="false">IFERROR(INDEX(Cat_Productos!$B$2:$B$6,MATCH(G757,Cat_Productos!$A$2:$A$6,0)),"")</f>
        <v>780</v>
      </c>
      <c r="M757" s="29" t="n">
        <f aca="false">IF(L757="","",H757*L757)</f>
        <v>3120</v>
      </c>
      <c r="N757" s="29" t="n">
        <f aca="false">IF(M757="","",J757-M757)</f>
        <v>2680</v>
      </c>
      <c r="O757" s="30" t="n">
        <f aca="false">IFERROR(N757/J757,0)</f>
        <v>0.462068965517241</v>
      </c>
      <c r="P757" s="27"/>
      <c r="Q757" s="27" t="s">
        <v>156</v>
      </c>
      <c r="R757" s="27" t="s">
        <v>91</v>
      </c>
      <c r="S757" s="27" t="n">
        <v>22</v>
      </c>
      <c r="T757" s="27"/>
    </row>
    <row r="758" customFormat="false" ht="15" hidden="false" customHeight="false" outlineLevel="0" collapsed="false">
      <c r="A758" s="26" t="n">
        <v>46139</v>
      </c>
      <c r="B758" s="27" t="n">
        <v>2026</v>
      </c>
      <c r="C758" s="27" t="n">
        <v>4</v>
      </c>
      <c r="D758" s="27" t="s">
        <v>83</v>
      </c>
      <c r="E758" s="27" t="s">
        <v>91</v>
      </c>
      <c r="F758" s="27" t="s">
        <v>103</v>
      </c>
      <c r="G758" s="27" t="s">
        <v>116</v>
      </c>
      <c r="H758" s="28" t="n">
        <v>2</v>
      </c>
      <c r="I758" s="29" t="n">
        <v>620</v>
      </c>
      <c r="J758" s="29" t="n">
        <v>1240</v>
      </c>
      <c r="K758" s="29" t="n">
        <f aca="false">H758*I758</f>
        <v>1240</v>
      </c>
      <c r="L758" s="29" t="n">
        <f aca="false">IFERROR(INDEX(Cat_Productos!$B$2:$B$6,MATCH(G758,Cat_Productos!$A$2:$A$6,0)),"")</f>
        <v>290</v>
      </c>
      <c r="M758" s="29" t="n">
        <f aca="false">IF(L758="","",H758*L758)</f>
        <v>580</v>
      </c>
      <c r="N758" s="29" t="n">
        <f aca="false">IF(M758="","",J758-M758)</f>
        <v>660</v>
      </c>
      <c r="O758" s="30" t="n">
        <f aca="false">IFERROR(N758/J758,0)</f>
        <v>0.532258064516129</v>
      </c>
      <c r="P758" s="27"/>
      <c r="Q758" s="27" t="s">
        <v>156</v>
      </c>
      <c r="R758" s="27" t="s">
        <v>91</v>
      </c>
      <c r="S758" s="27" t="n">
        <v>93</v>
      </c>
      <c r="T758" s="27"/>
    </row>
    <row r="759" customFormat="false" ht="15" hidden="false" customHeight="false" outlineLevel="0" collapsed="false">
      <c r="A759" s="26" t="n">
        <v>46139</v>
      </c>
      <c r="B759" s="27" t="n">
        <v>2026</v>
      </c>
      <c r="C759" s="27" t="n">
        <v>4</v>
      </c>
      <c r="D759" s="27" t="s">
        <v>83</v>
      </c>
      <c r="E759" s="27" t="s">
        <v>91</v>
      </c>
      <c r="F759" s="27" t="s">
        <v>103</v>
      </c>
      <c r="G759" s="27" t="s">
        <v>116</v>
      </c>
      <c r="H759" s="28" t="n">
        <v>2</v>
      </c>
      <c r="I759" s="29" t="n">
        <v>620</v>
      </c>
      <c r="J759" s="29" t="n">
        <v>1240</v>
      </c>
      <c r="K759" s="29" t="n">
        <f aca="false">H759*I759</f>
        <v>1240</v>
      </c>
      <c r="L759" s="29" t="n">
        <f aca="false">IFERROR(INDEX(Cat_Productos!$B$2:$B$6,MATCH(G759,Cat_Productos!$A$2:$A$6,0)),"")</f>
        <v>290</v>
      </c>
      <c r="M759" s="29" t="n">
        <f aca="false">IF(L759="","",H759*L759)</f>
        <v>580</v>
      </c>
      <c r="N759" s="29" t="n">
        <f aca="false">IF(M759="","",J759-M759)</f>
        <v>660</v>
      </c>
      <c r="O759" s="30" t="n">
        <f aca="false">IFERROR(N759/J759,0)</f>
        <v>0.532258064516129</v>
      </c>
      <c r="P759" s="27"/>
      <c r="Q759" s="27" t="s">
        <v>156</v>
      </c>
      <c r="R759" s="27" t="s">
        <v>91</v>
      </c>
      <c r="S759" s="27" t="n">
        <v>81</v>
      </c>
      <c r="T759" s="27"/>
    </row>
    <row r="760" customFormat="false" ht="15" hidden="false" customHeight="false" outlineLevel="0" collapsed="false">
      <c r="A760" s="26" t="n">
        <v>46139</v>
      </c>
      <c r="B760" s="27" t="n">
        <v>2026</v>
      </c>
      <c r="C760" s="27" t="n">
        <v>4</v>
      </c>
      <c r="D760" s="27" t="s">
        <v>83</v>
      </c>
      <c r="E760" s="27" t="s">
        <v>91</v>
      </c>
      <c r="F760" s="27" t="s">
        <v>103</v>
      </c>
      <c r="G760" s="27" t="s">
        <v>117</v>
      </c>
      <c r="H760" s="28" t="n">
        <v>6</v>
      </c>
      <c r="I760" s="29" t="n">
        <v>1450</v>
      </c>
      <c r="J760" s="29" t="n">
        <v>8700</v>
      </c>
      <c r="K760" s="29" t="n">
        <f aca="false">H760*I760</f>
        <v>8700</v>
      </c>
      <c r="L760" s="29" t="n">
        <f aca="false">IFERROR(INDEX(Cat_Productos!$B$2:$B$6,MATCH(G760,Cat_Productos!$A$2:$A$6,0)),"")</f>
        <v>780</v>
      </c>
      <c r="M760" s="29" t="n">
        <f aca="false">IF(L760="","",H760*L760)</f>
        <v>4680</v>
      </c>
      <c r="N760" s="29" t="n">
        <f aca="false">IF(M760="","",J760-M760)</f>
        <v>4020</v>
      </c>
      <c r="O760" s="30" t="n">
        <f aca="false">IFERROR(N760/J760,0)</f>
        <v>0.462068965517241</v>
      </c>
      <c r="P760" s="27"/>
      <c r="Q760" s="27" t="s">
        <v>156</v>
      </c>
      <c r="R760" s="27" t="s">
        <v>91</v>
      </c>
      <c r="S760" s="27" t="n">
        <v>65</v>
      </c>
      <c r="T760" s="27"/>
    </row>
    <row r="761" customFormat="false" ht="15" hidden="false" customHeight="false" outlineLevel="0" collapsed="false">
      <c r="A761" s="26" t="n">
        <v>46139</v>
      </c>
      <c r="B761" s="27" t="n">
        <v>2026</v>
      </c>
      <c r="C761" s="27" t="n">
        <v>4</v>
      </c>
      <c r="D761" s="27" t="s">
        <v>83</v>
      </c>
      <c r="E761" s="27" t="s">
        <v>91</v>
      </c>
      <c r="F761" s="27" t="s">
        <v>107</v>
      </c>
      <c r="G761" s="27" t="s">
        <v>116</v>
      </c>
      <c r="H761" s="28" t="n">
        <v>6</v>
      </c>
      <c r="I761" s="29" t="n">
        <v>620</v>
      </c>
      <c r="J761" s="29" t="n">
        <v>3720</v>
      </c>
      <c r="K761" s="29" t="n">
        <f aca="false">H761*I761</f>
        <v>3720</v>
      </c>
      <c r="L761" s="29" t="n">
        <f aca="false">IFERROR(INDEX(Cat_Productos!$B$2:$B$6,MATCH(G761,Cat_Productos!$A$2:$A$6,0)),"")</f>
        <v>290</v>
      </c>
      <c r="M761" s="29" t="n">
        <f aca="false">IF(L761="","",H761*L761)</f>
        <v>1740</v>
      </c>
      <c r="N761" s="29" t="n">
        <f aca="false">IF(M761="","",J761-M761)</f>
        <v>1980</v>
      </c>
      <c r="O761" s="30" t="n">
        <f aca="false">IFERROR(N761/J761,0)</f>
        <v>0.532258064516129</v>
      </c>
      <c r="P761" s="27"/>
      <c r="Q761" s="27" t="s">
        <v>156</v>
      </c>
      <c r="R761" s="27" t="s">
        <v>91</v>
      </c>
      <c r="S761" s="27" t="n">
        <v>38</v>
      </c>
      <c r="T761" s="27"/>
    </row>
    <row r="762" customFormat="false" ht="15" hidden="false" customHeight="false" outlineLevel="0" collapsed="false">
      <c r="A762" s="26" t="n">
        <v>46140</v>
      </c>
      <c r="B762" s="27" t="n">
        <v>2026</v>
      </c>
      <c r="C762" s="27" t="n">
        <v>4</v>
      </c>
      <c r="D762" s="27" t="s">
        <v>83</v>
      </c>
      <c r="E762" s="27" t="s">
        <v>93</v>
      </c>
      <c r="F762" s="27" t="s">
        <v>108</v>
      </c>
      <c r="G762" s="27" t="s">
        <v>114</v>
      </c>
      <c r="H762" s="28" t="n">
        <v>3</v>
      </c>
      <c r="I762" s="29" t="n">
        <v>24500</v>
      </c>
      <c r="J762" s="29" t="n">
        <v>73500</v>
      </c>
      <c r="K762" s="29" t="n">
        <f aca="false">H762*I762</f>
        <v>73500</v>
      </c>
      <c r="L762" s="29" t="n">
        <f aca="false">IFERROR(INDEX(Cat_Productos!$B$2:$B$6,MATCH(G762,Cat_Productos!$A$2:$A$6,0)),"")</f>
        <v>19200</v>
      </c>
      <c r="M762" s="29" t="n">
        <f aca="false">IF(L762="","",H762*L762)</f>
        <v>57600</v>
      </c>
      <c r="N762" s="29" t="n">
        <f aca="false">IF(M762="","",J762-M762)</f>
        <v>15900</v>
      </c>
      <c r="O762" s="30" t="n">
        <f aca="false">IFERROR(N762/J762,0)</f>
        <v>0.216326530612245</v>
      </c>
      <c r="P762" s="27"/>
      <c r="Q762" s="27" t="s">
        <v>156</v>
      </c>
      <c r="R762" s="27" t="s">
        <v>158</v>
      </c>
      <c r="S762" s="27" t="n">
        <v>9</v>
      </c>
      <c r="T762" s="27"/>
    </row>
    <row r="763" customFormat="false" ht="15" hidden="false" customHeight="false" outlineLevel="0" collapsed="false">
      <c r="A763" s="26" t="n">
        <v>46140</v>
      </c>
      <c r="B763" s="27" t="n">
        <v>2026</v>
      </c>
      <c r="C763" s="27" t="n">
        <v>4</v>
      </c>
      <c r="D763" s="27" t="s">
        <v>83</v>
      </c>
      <c r="E763" s="27" t="s">
        <v>92</v>
      </c>
      <c r="F763" s="27" t="s">
        <v>105</v>
      </c>
      <c r="G763" s="27" t="s">
        <v>118</v>
      </c>
      <c r="H763" s="28" t="n">
        <v>1</v>
      </c>
      <c r="I763" s="29" t="n">
        <v>1180</v>
      </c>
      <c r="J763" s="29" t="n">
        <v>1180</v>
      </c>
      <c r="K763" s="29" t="n">
        <f aca="false">H763*I763</f>
        <v>1180</v>
      </c>
      <c r="L763" s="29" t="n">
        <f aca="false">IFERROR(INDEX(Cat_Productos!$B$2:$B$6,MATCH(G763,Cat_Productos!$A$2:$A$6,0)),"")</f>
        <v>590</v>
      </c>
      <c r="M763" s="29" t="n">
        <f aca="false">IF(L763="","",H763*L763)</f>
        <v>590</v>
      </c>
      <c r="N763" s="29" t="n">
        <f aca="false">IF(M763="","",J763-M763)</f>
        <v>590</v>
      </c>
      <c r="O763" s="30" t="n">
        <f aca="false">IFERROR(N763/J763,0)</f>
        <v>0.5</v>
      </c>
      <c r="P763" s="27"/>
      <c r="Q763" s="27" t="s">
        <v>156</v>
      </c>
      <c r="R763" s="27" t="s">
        <v>157</v>
      </c>
      <c r="S763" s="27" t="n">
        <v>28</v>
      </c>
      <c r="T763" s="27"/>
    </row>
    <row r="764" customFormat="false" ht="15" hidden="false" customHeight="false" outlineLevel="0" collapsed="false">
      <c r="A764" s="26" t="n">
        <v>46140</v>
      </c>
      <c r="B764" s="27" t="n">
        <v>2026</v>
      </c>
      <c r="C764" s="27" t="n">
        <v>4</v>
      </c>
      <c r="D764" s="27" t="s">
        <v>83</v>
      </c>
      <c r="E764" s="27" t="s">
        <v>92</v>
      </c>
      <c r="F764" s="27" t="s">
        <v>105</v>
      </c>
      <c r="G764" s="27" t="s">
        <v>118</v>
      </c>
      <c r="H764" s="28" t="n">
        <v>5</v>
      </c>
      <c r="I764" s="29" t="n">
        <v>1180</v>
      </c>
      <c r="J764" s="29" t="n">
        <v>5900</v>
      </c>
      <c r="K764" s="29" t="n">
        <f aca="false">H764*I764</f>
        <v>5900</v>
      </c>
      <c r="L764" s="29" t="n">
        <f aca="false">IFERROR(INDEX(Cat_Productos!$B$2:$B$6,MATCH(G764,Cat_Productos!$A$2:$A$6,0)),"")</f>
        <v>590</v>
      </c>
      <c r="M764" s="29" t="n">
        <f aca="false">IF(L764="","",H764*L764)</f>
        <v>2950</v>
      </c>
      <c r="N764" s="29" t="n">
        <f aca="false">IF(M764="","",J764-M764)</f>
        <v>2950</v>
      </c>
      <c r="O764" s="30" t="n">
        <f aca="false">IFERROR(N764/J764,0)</f>
        <v>0.5</v>
      </c>
      <c r="P764" s="27"/>
      <c r="Q764" s="27" t="s">
        <v>156</v>
      </c>
      <c r="R764" s="27" t="s">
        <v>157</v>
      </c>
      <c r="S764" s="27" t="n">
        <v>26</v>
      </c>
      <c r="T764" s="27"/>
    </row>
    <row r="765" customFormat="false" ht="15" hidden="false" customHeight="false" outlineLevel="0" collapsed="false">
      <c r="A765" s="26" t="n">
        <v>46140</v>
      </c>
      <c r="B765" s="27" t="n">
        <v>2026</v>
      </c>
      <c r="C765" s="27" t="n">
        <v>4</v>
      </c>
      <c r="D765" s="27" t="s">
        <v>83</v>
      </c>
      <c r="E765" s="27" t="s">
        <v>92</v>
      </c>
      <c r="F765" s="27" t="s">
        <v>105</v>
      </c>
      <c r="G765" s="27" t="s">
        <v>118</v>
      </c>
      <c r="H765" s="28" t="n">
        <v>3</v>
      </c>
      <c r="I765" s="29" t="n">
        <v>1180</v>
      </c>
      <c r="J765" s="29" t="n">
        <v>3540</v>
      </c>
      <c r="K765" s="29" t="n">
        <f aca="false">H765*I765</f>
        <v>3540</v>
      </c>
      <c r="L765" s="29" t="n">
        <f aca="false">IFERROR(INDEX(Cat_Productos!$B$2:$B$6,MATCH(G765,Cat_Productos!$A$2:$A$6,0)),"")</f>
        <v>590</v>
      </c>
      <c r="M765" s="29" t="n">
        <f aca="false">IF(L765="","",H765*L765)</f>
        <v>1770</v>
      </c>
      <c r="N765" s="29" t="n">
        <f aca="false">IF(M765="","",J765-M765)</f>
        <v>1770</v>
      </c>
      <c r="O765" s="30" t="n">
        <f aca="false">IFERROR(N765/J765,0)</f>
        <v>0.5</v>
      </c>
      <c r="P765" s="27"/>
      <c r="Q765" s="27" t="s">
        <v>156</v>
      </c>
      <c r="R765" s="27" t="s">
        <v>157</v>
      </c>
      <c r="S765" s="27" t="n">
        <v>20</v>
      </c>
      <c r="T765" s="27"/>
    </row>
    <row r="766" customFormat="false" ht="15" hidden="false" customHeight="false" outlineLevel="0" collapsed="false">
      <c r="A766" s="26" t="n">
        <v>46140</v>
      </c>
      <c r="B766" s="27" t="n">
        <v>2026</v>
      </c>
      <c r="C766" s="27" t="n">
        <v>4</v>
      </c>
      <c r="D766" s="27" t="s">
        <v>83</v>
      </c>
      <c r="E766" s="27" t="s">
        <v>92</v>
      </c>
      <c r="F766" s="27" t="s">
        <v>105</v>
      </c>
      <c r="G766" s="27" t="s">
        <v>115</v>
      </c>
      <c r="H766" s="28" t="n">
        <v>3</v>
      </c>
      <c r="I766" s="29" t="n">
        <v>6200</v>
      </c>
      <c r="J766" s="29" t="n">
        <v>18600</v>
      </c>
      <c r="K766" s="29" t="n">
        <f aca="false">H766*I766</f>
        <v>18600</v>
      </c>
      <c r="L766" s="29" t="n">
        <f aca="false">IFERROR(INDEX(Cat_Productos!$B$2:$B$6,MATCH(G766,Cat_Productos!$A$2:$A$6,0)),"")</f>
        <v>4100</v>
      </c>
      <c r="M766" s="29" t="n">
        <f aca="false">IF(L766="","",H766*L766)</f>
        <v>12300</v>
      </c>
      <c r="N766" s="29" t="n">
        <f aca="false">IF(M766="","",J766-M766)</f>
        <v>6300</v>
      </c>
      <c r="O766" s="30" t="n">
        <f aca="false">IFERROR(N766/J766,0)</f>
        <v>0.338709677419355</v>
      </c>
      <c r="P766" s="27"/>
      <c r="Q766" s="27" t="s">
        <v>156</v>
      </c>
      <c r="R766" s="27" t="s">
        <v>157</v>
      </c>
      <c r="S766" s="27" t="n">
        <v>14</v>
      </c>
      <c r="T766" s="27"/>
    </row>
    <row r="767" customFormat="false" ht="15" hidden="false" customHeight="false" outlineLevel="0" collapsed="false">
      <c r="A767" s="26" t="n">
        <v>46140</v>
      </c>
      <c r="B767" s="27" t="n">
        <v>2026</v>
      </c>
      <c r="C767" s="27" t="n">
        <v>4</v>
      </c>
      <c r="D767" s="27" t="s">
        <v>83</v>
      </c>
      <c r="E767" s="27" t="s">
        <v>93</v>
      </c>
      <c r="F767" s="27" t="s">
        <v>108</v>
      </c>
      <c r="G767" s="27" t="s">
        <v>118</v>
      </c>
      <c r="H767" s="28" t="n">
        <v>1</v>
      </c>
      <c r="I767" s="29" t="n">
        <v>1180</v>
      </c>
      <c r="J767" s="29" t="n">
        <v>1180</v>
      </c>
      <c r="K767" s="29" t="n">
        <f aca="false">H767*I767</f>
        <v>1180</v>
      </c>
      <c r="L767" s="29" t="n">
        <f aca="false">IFERROR(INDEX(Cat_Productos!$B$2:$B$6,MATCH(G767,Cat_Productos!$A$2:$A$6,0)),"")</f>
        <v>590</v>
      </c>
      <c r="M767" s="29" t="n">
        <f aca="false">IF(L767="","",H767*L767)</f>
        <v>590</v>
      </c>
      <c r="N767" s="29" t="n">
        <f aca="false">IF(M767="","",J767-M767)</f>
        <v>590</v>
      </c>
      <c r="O767" s="30" t="n">
        <f aca="false">IFERROR(N767/J767,0)</f>
        <v>0.5</v>
      </c>
      <c r="P767" s="27"/>
      <c r="Q767" s="27" t="s">
        <v>156</v>
      </c>
      <c r="R767" s="27" t="s">
        <v>158</v>
      </c>
      <c r="S767" s="27" t="n">
        <v>17</v>
      </c>
      <c r="T767" s="27"/>
    </row>
    <row r="768" customFormat="false" ht="15" hidden="false" customHeight="false" outlineLevel="0" collapsed="false">
      <c r="A768" s="31" t="n">
        <v>46143</v>
      </c>
      <c r="B768" s="32" t="n">
        <v>2026</v>
      </c>
      <c r="C768" s="32" t="n">
        <v>5</v>
      </c>
      <c r="D768" s="32" t="s">
        <v>84</v>
      </c>
      <c r="E768" s="32" t="s">
        <v>92</v>
      </c>
      <c r="F768" s="32" t="s">
        <v>104</v>
      </c>
      <c r="G768" s="32" t="s">
        <v>118</v>
      </c>
      <c r="H768" s="33" t="n">
        <v>5</v>
      </c>
      <c r="I768" s="34" t="n">
        <v>1180</v>
      </c>
      <c r="J768" s="34" t="n">
        <v>5900</v>
      </c>
      <c r="K768" s="34" t="n">
        <f aca="false">H768*I768</f>
        <v>5900</v>
      </c>
      <c r="L768" s="34" t="n">
        <f aca="false">IFERROR(INDEX(Cat_Productos!$B$2:$B$6,MATCH(G768,Cat_Productos!$A$2:$A$6,0)),"")</f>
        <v>590</v>
      </c>
      <c r="M768" s="34" t="n">
        <f aca="false">IF(L768="","",H768*L768)</f>
        <v>2950</v>
      </c>
      <c r="N768" s="34" t="n">
        <f aca="false">IF(M768="","",J768-M768)</f>
        <v>2950</v>
      </c>
      <c r="O768" s="35" t="n">
        <f aca="false">IFERROR(N768/J768,0)</f>
        <v>0.5</v>
      </c>
      <c r="P768" s="32"/>
      <c r="Q768" s="32" t="s">
        <v>159</v>
      </c>
      <c r="R768" s="32" t="s">
        <v>154</v>
      </c>
      <c r="S768" s="32" t="n">
        <v>94</v>
      </c>
      <c r="T768" s="32" t="s">
        <v>160</v>
      </c>
    </row>
    <row r="769" customFormat="false" ht="15" hidden="false" customHeight="false" outlineLevel="0" collapsed="false">
      <c r="A769" s="31" t="n">
        <v>46143</v>
      </c>
      <c r="B769" s="32" t="n">
        <v>2026</v>
      </c>
      <c r="C769" s="32" t="n">
        <v>5</v>
      </c>
      <c r="D769" s="32" t="s">
        <v>84</v>
      </c>
      <c r="E769" s="32" t="s">
        <v>91</v>
      </c>
      <c r="F769" s="32" t="s">
        <v>105</v>
      </c>
      <c r="G769" s="32" t="s">
        <v>115</v>
      </c>
      <c r="H769" s="33" t="n">
        <v>4</v>
      </c>
      <c r="I769" s="34" t="n">
        <v>6200</v>
      </c>
      <c r="J769" s="34" t="n">
        <v>24800</v>
      </c>
      <c r="K769" s="34" t="n">
        <f aca="false">H769*I769</f>
        <v>24800</v>
      </c>
      <c r="L769" s="34" t="n">
        <f aca="false">IFERROR(INDEX(Cat_Productos!$B$2:$B$6,MATCH(G769,Cat_Productos!$A$2:$A$6,0)),"")</f>
        <v>4100</v>
      </c>
      <c r="M769" s="34" t="n">
        <f aca="false">IF(L769="","",H769*L769)</f>
        <v>16400</v>
      </c>
      <c r="N769" s="34" t="n">
        <f aca="false">IF(M769="","",J769-M769)</f>
        <v>8400</v>
      </c>
      <c r="O769" s="35" t="n">
        <f aca="false">IFERROR(N769/J769,0)</f>
        <v>0.338709677419355</v>
      </c>
      <c r="P769" s="32"/>
      <c r="Q769" s="32" t="s">
        <v>159</v>
      </c>
      <c r="R769" s="32" t="s">
        <v>154</v>
      </c>
      <c r="S769" s="32" t="n">
        <v>108</v>
      </c>
      <c r="T769" s="32" t="s">
        <v>160</v>
      </c>
    </row>
    <row r="770" customFormat="false" ht="15" hidden="false" customHeight="false" outlineLevel="0" collapsed="false">
      <c r="A770" s="26" t="n">
        <v>46144</v>
      </c>
      <c r="B770" s="27" t="n">
        <v>2026</v>
      </c>
      <c r="C770" s="27" t="n">
        <v>5</v>
      </c>
      <c r="D770" s="27" t="s">
        <v>84</v>
      </c>
      <c r="E770" s="27" t="s">
        <v>93</v>
      </c>
      <c r="F770" s="27" t="s">
        <v>107</v>
      </c>
      <c r="G770" s="27" t="s">
        <v>117</v>
      </c>
      <c r="H770" s="28" t="n">
        <v>1</v>
      </c>
      <c r="I770" s="29" t="n">
        <v>1450</v>
      </c>
      <c r="J770" s="29" t="n">
        <v>1450</v>
      </c>
      <c r="K770" s="29" t="n">
        <f aca="false">H770*I770</f>
        <v>1450</v>
      </c>
      <c r="L770" s="29" t="n">
        <f aca="false">IFERROR(INDEX(Cat_Productos!$B$2:$B$6,MATCH(G770,Cat_Productos!$A$2:$A$6,0)),"")</f>
        <v>780</v>
      </c>
      <c r="M770" s="29" t="n">
        <f aca="false">IF(L770="","",H770*L770)</f>
        <v>780</v>
      </c>
      <c r="N770" s="29" t="n">
        <f aca="false">IF(M770="","",J770-M770)</f>
        <v>670</v>
      </c>
      <c r="O770" s="30" t="n">
        <f aca="false">IFERROR(N770/J770,0)</f>
        <v>0.462068965517241</v>
      </c>
      <c r="P770" s="27"/>
      <c r="Q770" s="27" t="s">
        <v>159</v>
      </c>
      <c r="R770" s="27" t="s">
        <v>154</v>
      </c>
      <c r="S770" s="27" t="n">
        <v>57</v>
      </c>
      <c r="T770" s="27"/>
    </row>
    <row r="771" customFormat="false" ht="15" hidden="false" customHeight="false" outlineLevel="0" collapsed="false">
      <c r="A771" s="26" t="n">
        <v>46144</v>
      </c>
      <c r="B771" s="27" t="n">
        <v>2026</v>
      </c>
      <c r="C771" s="27" t="n">
        <v>5</v>
      </c>
      <c r="D771" s="27" t="s">
        <v>84</v>
      </c>
      <c r="E771" s="27" t="s">
        <v>92</v>
      </c>
      <c r="F771" s="27" t="s">
        <v>103</v>
      </c>
      <c r="G771" s="27" t="s">
        <v>117</v>
      </c>
      <c r="H771" s="28" t="n">
        <v>2</v>
      </c>
      <c r="I771" s="29" t="n">
        <v>1450</v>
      </c>
      <c r="J771" s="29" t="n">
        <v>2900</v>
      </c>
      <c r="K771" s="29" t="n">
        <f aca="false">H771*I771</f>
        <v>2900</v>
      </c>
      <c r="L771" s="29" t="n">
        <f aca="false">IFERROR(INDEX(Cat_Productos!$B$2:$B$6,MATCH(G771,Cat_Productos!$A$2:$A$6,0)),"")</f>
        <v>780</v>
      </c>
      <c r="M771" s="29" t="n">
        <f aca="false">IF(L771="","",H771*L771)</f>
        <v>1560</v>
      </c>
      <c r="N771" s="29" t="n">
        <f aca="false">IF(M771="","",J771-M771)</f>
        <v>1340</v>
      </c>
      <c r="O771" s="30" t="n">
        <f aca="false">IFERROR(N771/J771,0)</f>
        <v>0.462068965517241</v>
      </c>
      <c r="P771" s="27"/>
      <c r="Q771" s="27" t="s">
        <v>159</v>
      </c>
      <c r="R771" s="27" t="s">
        <v>154</v>
      </c>
      <c r="S771" s="27" t="n">
        <v>75</v>
      </c>
      <c r="T771" s="27"/>
    </row>
    <row r="772" customFormat="false" ht="15" hidden="false" customHeight="false" outlineLevel="0" collapsed="false">
      <c r="A772" s="26" t="n">
        <v>46144</v>
      </c>
      <c r="B772" s="27" t="n">
        <v>2026</v>
      </c>
      <c r="C772" s="27" t="n">
        <v>5</v>
      </c>
      <c r="D772" s="27" t="s">
        <v>84</v>
      </c>
      <c r="E772" s="27" t="s">
        <v>93</v>
      </c>
      <c r="F772" s="27" t="s">
        <v>108</v>
      </c>
      <c r="G772" s="27" t="s">
        <v>118</v>
      </c>
      <c r="H772" s="28" t="n">
        <v>1</v>
      </c>
      <c r="I772" s="29" t="n">
        <v>1180</v>
      </c>
      <c r="J772" s="29" t="n">
        <v>1180</v>
      </c>
      <c r="K772" s="29" t="n">
        <f aca="false">H772*I772</f>
        <v>1180</v>
      </c>
      <c r="L772" s="29" t="n">
        <f aca="false">IFERROR(INDEX(Cat_Productos!$B$2:$B$6,MATCH(G772,Cat_Productos!$A$2:$A$6,0)),"")</f>
        <v>590</v>
      </c>
      <c r="M772" s="29" t="n">
        <f aca="false">IF(L772="","",H772*L772)</f>
        <v>590</v>
      </c>
      <c r="N772" s="29" t="n">
        <f aca="false">IF(M772="","",J772-M772)</f>
        <v>590</v>
      </c>
      <c r="O772" s="30" t="n">
        <f aca="false">IFERROR(N772/J772,0)</f>
        <v>0.5</v>
      </c>
      <c r="P772" s="27"/>
      <c r="Q772" s="27" t="s">
        <v>159</v>
      </c>
      <c r="R772" s="27" t="s">
        <v>154</v>
      </c>
      <c r="S772" s="27" t="n">
        <v>3</v>
      </c>
      <c r="T772" s="27"/>
    </row>
    <row r="773" customFormat="false" ht="15" hidden="false" customHeight="false" outlineLevel="0" collapsed="false">
      <c r="A773" s="26" t="n">
        <v>46145</v>
      </c>
      <c r="B773" s="27" t="n">
        <v>2026</v>
      </c>
      <c r="C773" s="27" t="n">
        <v>5</v>
      </c>
      <c r="D773" s="27" t="s">
        <v>84</v>
      </c>
      <c r="E773" s="27" t="s">
        <v>93</v>
      </c>
      <c r="F773" s="27" t="s">
        <v>108</v>
      </c>
      <c r="G773" s="27" t="s">
        <v>117</v>
      </c>
      <c r="H773" s="28" t="n">
        <v>2</v>
      </c>
      <c r="I773" s="29" t="n">
        <v>1450</v>
      </c>
      <c r="J773" s="29" t="n">
        <v>2900</v>
      </c>
      <c r="K773" s="29" t="n">
        <f aca="false">H773*I773</f>
        <v>2900</v>
      </c>
      <c r="L773" s="29" t="n">
        <f aca="false">IFERROR(INDEX(Cat_Productos!$B$2:$B$6,MATCH(G773,Cat_Productos!$A$2:$A$6,0)),"")</f>
        <v>780</v>
      </c>
      <c r="M773" s="29" t="n">
        <f aca="false">IF(L773="","",H773*L773)</f>
        <v>1560</v>
      </c>
      <c r="N773" s="29" t="n">
        <f aca="false">IF(M773="","",J773-M773)</f>
        <v>1340</v>
      </c>
      <c r="O773" s="30" t="n">
        <f aca="false">IFERROR(N773/J773,0)</f>
        <v>0.462068965517241</v>
      </c>
      <c r="P773" s="27"/>
      <c r="Q773" s="27" t="s">
        <v>159</v>
      </c>
      <c r="R773" s="27" t="s">
        <v>154</v>
      </c>
      <c r="S773" s="27" t="n">
        <v>66</v>
      </c>
      <c r="T773" s="27"/>
    </row>
    <row r="774" customFormat="false" ht="15" hidden="false" customHeight="false" outlineLevel="0" collapsed="false">
      <c r="A774" s="26" t="n">
        <v>46145</v>
      </c>
      <c r="B774" s="27" t="n">
        <v>2026</v>
      </c>
      <c r="C774" s="27" t="n">
        <v>5</v>
      </c>
      <c r="D774" s="27" t="s">
        <v>84</v>
      </c>
      <c r="E774" s="27" t="s">
        <v>91</v>
      </c>
      <c r="F774" s="27" t="s">
        <v>106</v>
      </c>
      <c r="G774" s="27" t="s">
        <v>115</v>
      </c>
      <c r="H774" s="28" t="n">
        <v>6</v>
      </c>
      <c r="I774" s="29" t="n">
        <v>6200</v>
      </c>
      <c r="J774" s="29" t="n">
        <v>37200</v>
      </c>
      <c r="K774" s="29" t="n">
        <f aca="false">H774*I774</f>
        <v>37200</v>
      </c>
      <c r="L774" s="29" t="n">
        <f aca="false">IFERROR(INDEX(Cat_Productos!$B$2:$B$6,MATCH(G774,Cat_Productos!$A$2:$A$6,0)),"")</f>
        <v>4100</v>
      </c>
      <c r="M774" s="29" t="n">
        <f aca="false">IF(L774="","",H774*L774)</f>
        <v>24600</v>
      </c>
      <c r="N774" s="29" t="n">
        <f aca="false">IF(M774="","",J774-M774)</f>
        <v>12600</v>
      </c>
      <c r="O774" s="30" t="n">
        <f aca="false">IFERROR(N774/J774,0)</f>
        <v>0.338709677419355</v>
      </c>
      <c r="P774" s="27"/>
      <c r="Q774" s="27" t="s">
        <v>159</v>
      </c>
      <c r="R774" s="27" t="s">
        <v>154</v>
      </c>
      <c r="S774" s="27" t="n">
        <v>27</v>
      </c>
      <c r="T774" s="27"/>
    </row>
    <row r="775" customFormat="false" ht="15" hidden="false" customHeight="false" outlineLevel="0" collapsed="false">
      <c r="A775" s="26" t="n">
        <v>46145</v>
      </c>
      <c r="B775" s="27" t="n">
        <v>2026</v>
      </c>
      <c r="C775" s="27" t="n">
        <v>5</v>
      </c>
      <c r="D775" s="27" t="s">
        <v>84</v>
      </c>
      <c r="E775" s="27" t="s">
        <v>91</v>
      </c>
      <c r="F775" s="27" t="s">
        <v>103</v>
      </c>
      <c r="G775" s="27" t="s">
        <v>116</v>
      </c>
      <c r="H775" s="28" t="n">
        <v>3</v>
      </c>
      <c r="I775" s="29" t="n">
        <v>620</v>
      </c>
      <c r="J775" s="29" t="n">
        <v>1860</v>
      </c>
      <c r="K775" s="29" t="n">
        <f aca="false">H775*I775</f>
        <v>1860</v>
      </c>
      <c r="L775" s="29" t="n">
        <f aca="false">IFERROR(INDEX(Cat_Productos!$B$2:$B$6,MATCH(G775,Cat_Productos!$A$2:$A$6,0)),"")</f>
        <v>290</v>
      </c>
      <c r="M775" s="29" t="n">
        <f aca="false">IF(L775="","",H775*L775)</f>
        <v>870</v>
      </c>
      <c r="N775" s="29" t="n">
        <f aca="false">IF(M775="","",J775-M775)</f>
        <v>990</v>
      </c>
      <c r="O775" s="30" t="n">
        <f aca="false">IFERROR(N775/J775,0)</f>
        <v>0.532258064516129</v>
      </c>
      <c r="P775" s="27"/>
      <c r="Q775" s="27" t="s">
        <v>159</v>
      </c>
      <c r="R775" s="27" t="s">
        <v>154</v>
      </c>
      <c r="S775" s="27" t="n">
        <v>26</v>
      </c>
      <c r="T775" s="27"/>
    </row>
    <row r="776" customFormat="false" ht="15" hidden="false" customHeight="false" outlineLevel="0" collapsed="false">
      <c r="A776" s="26" t="n">
        <v>46145</v>
      </c>
      <c r="B776" s="27" t="n">
        <v>2026</v>
      </c>
      <c r="C776" s="27" t="n">
        <v>5</v>
      </c>
      <c r="D776" s="27" t="s">
        <v>84</v>
      </c>
      <c r="E776" s="27" t="s">
        <v>91</v>
      </c>
      <c r="F776" s="27" t="s">
        <v>104</v>
      </c>
      <c r="G776" s="27" t="s">
        <v>116</v>
      </c>
      <c r="H776" s="28" t="n">
        <v>3</v>
      </c>
      <c r="I776" s="29" t="n">
        <v>620</v>
      </c>
      <c r="J776" s="29" t="n">
        <v>1860</v>
      </c>
      <c r="K776" s="29" t="n">
        <f aca="false">H776*I776</f>
        <v>1860</v>
      </c>
      <c r="L776" s="29" t="n">
        <f aca="false">IFERROR(INDEX(Cat_Productos!$B$2:$B$6,MATCH(G776,Cat_Productos!$A$2:$A$6,0)),"")</f>
        <v>290</v>
      </c>
      <c r="M776" s="29" t="n">
        <f aca="false">IF(L776="","",H776*L776)</f>
        <v>870</v>
      </c>
      <c r="N776" s="29" t="n">
        <f aca="false">IF(M776="","",J776-M776)</f>
        <v>990</v>
      </c>
      <c r="O776" s="30" t="n">
        <f aca="false">IFERROR(N776/J776,0)</f>
        <v>0.532258064516129</v>
      </c>
      <c r="P776" s="27"/>
      <c r="Q776" s="27" t="s">
        <v>159</v>
      </c>
      <c r="R776" s="27" t="s">
        <v>154</v>
      </c>
      <c r="S776" s="27" t="n">
        <v>118</v>
      </c>
      <c r="T776" s="27"/>
    </row>
    <row r="777" customFormat="false" ht="15" hidden="false" customHeight="false" outlineLevel="0" collapsed="false">
      <c r="A777" s="26" t="n">
        <v>46145</v>
      </c>
      <c r="B777" s="27" t="n">
        <v>2026</v>
      </c>
      <c r="C777" s="27" t="n">
        <v>5</v>
      </c>
      <c r="D777" s="27" t="s">
        <v>84</v>
      </c>
      <c r="E777" s="27" t="s">
        <v>93</v>
      </c>
      <c r="F777" s="27" t="s">
        <v>106</v>
      </c>
      <c r="G777" s="27" t="s">
        <v>116</v>
      </c>
      <c r="H777" s="28" t="n">
        <v>5</v>
      </c>
      <c r="I777" s="29" t="n">
        <v>620</v>
      </c>
      <c r="J777" s="29" t="n">
        <v>3100</v>
      </c>
      <c r="K777" s="29" t="n">
        <f aca="false">H777*I777</f>
        <v>3100</v>
      </c>
      <c r="L777" s="29" t="n">
        <f aca="false">IFERROR(INDEX(Cat_Productos!$B$2:$B$6,MATCH(G777,Cat_Productos!$A$2:$A$6,0)),"")</f>
        <v>290</v>
      </c>
      <c r="M777" s="29" t="n">
        <f aca="false">IF(L777="","",H777*L777)</f>
        <v>1450</v>
      </c>
      <c r="N777" s="29" t="n">
        <f aca="false">IF(M777="","",J777-M777)</f>
        <v>1650</v>
      </c>
      <c r="O777" s="30" t="n">
        <f aca="false">IFERROR(N777/J777,0)</f>
        <v>0.532258064516129</v>
      </c>
      <c r="P777" s="27"/>
      <c r="Q777" s="27" t="s">
        <v>159</v>
      </c>
      <c r="R777" s="27" t="s">
        <v>154</v>
      </c>
      <c r="S777" s="27" t="n">
        <v>86</v>
      </c>
      <c r="T777" s="27"/>
    </row>
    <row r="778" customFormat="false" ht="15" hidden="false" customHeight="false" outlineLevel="0" collapsed="false">
      <c r="A778" s="26" t="n">
        <v>46145</v>
      </c>
      <c r="B778" s="27" t="n">
        <v>2026</v>
      </c>
      <c r="C778" s="27" t="n">
        <v>5</v>
      </c>
      <c r="D778" s="27" t="s">
        <v>84</v>
      </c>
      <c r="E778" s="27" t="s">
        <v>92</v>
      </c>
      <c r="F778" s="27" t="s">
        <v>105</v>
      </c>
      <c r="G778" s="27" t="s">
        <v>115</v>
      </c>
      <c r="H778" s="28" t="n">
        <v>4</v>
      </c>
      <c r="I778" s="29" t="n">
        <v>6200</v>
      </c>
      <c r="J778" s="29" t="n">
        <v>24800</v>
      </c>
      <c r="K778" s="29" t="n">
        <f aca="false">H778*I778</f>
        <v>24800</v>
      </c>
      <c r="L778" s="29" t="n">
        <f aca="false">IFERROR(INDEX(Cat_Productos!$B$2:$B$6,MATCH(G778,Cat_Productos!$A$2:$A$6,0)),"")</f>
        <v>4100</v>
      </c>
      <c r="M778" s="29" t="n">
        <f aca="false">IF(L778="","",H778*L778)</f>
        <v>16400</v>
      </c>
      <c r="N778" s="29" t="n">
        <f aca="false">IF(M778="","",J778-M778)</f>
        <v>8400</v>
      </c>
      <c r="O778" s="30" t="n">
        <f aca="false">IFERROR(N778/J778,0)</f>
        <v>0.338709677419355</v>
      </c>
      <c r="P778" s="27"/>
      <c r="Q778" s="27" t="s">
        <v>159</v>
      </c>
      <c r="R778" s="27" t="s">
        <v>154</v>
      </c>
      <c r="S778" s="27" t="n">
        <v>17</v>
      </c>
      <c r="T778" s="27"/>
    </row>
    <row r="779" customFormat="false" ht="15" hidden="false" customHeight="false" outlineLevel="0" collapsed="false">
      <c r="A779" s="26" t="n">
        <v>46145</v>
      </c>
      <c r="B779" s="27" t="n">
        <v>2026</v>
      </c>
      <c r="C779" s="27" t="n">
        <v>5</v>
      </c>
      <c r="D779" s="27" t="s">
        <v>84</v>
      </c>
      <c r="E779" s="27" t="s">
        <v>92</v>
      </c>
      <c r="F779" s="27" t="s">
        <v>103</v>
      </c>
      <c r="G779" s="27" t="s">
        <v>117</v>
      </c>
      <c r="H779" s="28" t="n">
        <v>2</v>
      </c>
      <c r="I779" s="29" t="n">
        <v>1450</v>
      </c>
      <c r="J779" s="29" t="n">
        <v>2900</v>
      </c>
      <c r="K779" s="29" t="n">
        <f aca="false">H779*I779</f>
        <v>2900</v>
      </c>
      <c r="L779" s="29" t="n">
        <f aca="false">IFERROR(INDEX(Cat_Productos!$B$2:$B$6,MATCH(G779,Cat_Productos!$A$2:$A$6,0)),"")</f>
        <v>780</v>
      </c>
      <c r="M779" s="29" t="n">
        <f aca="false">IF(L779="","",H779*L779)</f>
        <v>1560</v>
      </c>
      <c r="N779" s="29" t="n">
        <f aca="false">IF(M779="","",J779-M779)</f>
        <v>1340</v>
      </c>
      <c r="O779" s="30" t="n">
        <f aca="false">IFERROR(N779/J779,0)</f>
        <v>0.462068965517241</v>
      </c>
      <c r="P779" s="27"/>
      <c r="Q779" s="27" t="s">
        <v>159</v>
      </c>
      <c r="R779" s="27" t="s">
        <v>154</v>
      </c>
      <c r="S779" s="27" t="n">
        <v>114</v>
      </c>
      <c r="T779" s="27"/>
    </row>
    <row r="780" customFormat="false" ht="15" hidden="false" customHeight="false" outlineLevel="0" collapsed="false">
      <c r="A780" s="26" t="n">
        <v>46145</v>
      </c>
      <c r="B780" s="27" t="n">
        <v>2026</v>
      </c>
      <c r="C780" s="27" t="n">
        <v>5</v>
      </c>
      <c r="D780" s="27" t="s">
        <v>84</v>
      </c>
      <c r="E780" s="27" t="s">
        <v>93</v>
      </c>
      <c r="F780" s="27" t="s">
        <v>104</v>
      </c>
      <c r="G780" s="27" t="s">
        <v>118</v>
      </c>
      <c r="H780" s="28" t="n">
        <v>4</v>
      </c>
      <c r="I780" s="29" t="n">
        <v>1180</v>
      </c>
      <c r="J780" s="29" t="n">
        <v>4720</v>
      </c>
      <c r="K780" s="29" t="n">
        <f aca="false">H780*I780</f>
        <v>4720</v>
      </c>
      <c r="L780" s="29" t="n">
        <f aca="false">IFERROR(INDEX(Cat_Productos!$B$2:$B$6,MATCH(G780,Cat_Productos!$A$2:$A$6,0)),"")</f>
        <v>590</v>
      </c>
      <c r="M780" s="29" t="n">
        <f aca="false">IF(L780="","",H780*L780)</f>
        <v>2360</v>
      </c>
      <c r="N780" s="29" t="n">
        <f aca="false">IF(M780="","",J780-M780)</f>
        <v>2360</v>
      </c>
      <c r="O780" s="30" t="n">
        <f aca="false">IFERROR(N780/J780,0)</f>
        <v>0.5</v>
      </c>
      <c r="P780" s="27"/>
      <c r="Q780" s="27" t="s">
        <v>159</v>
      </c>
      <c r="R780" s="27" t="s">
        <v>154</v>
      </c>
      <c r="S780" s="27" t="n">
        <v>116</v>
      </c>
      <c r="T780" s="27"/>
    </row>
    <row r="781" customFormat="false" ht="15" hidden="false" customHeight="false" outlineLevel="0" collapsed="false">
      <c r="A781" s="26" t="n">
        <v>46146</v>
      </c>
      <c r="B781" s="27" t="n">
        <v>2026</v>
      </c>
      <c r="C781" s="27" t="n">
        <v>5</v>
      </c>
      <c r="D781" s="27" t="s">
        <v>84</v>
      </c>
      <c r="E781" s="27" t="s">
        <v>93</v>
      </c>
      <c r="F781" s="27" t="s">
        <v>104</v>
      </c>
      <c r="G781" s="27" t="s">
        <v>118</v>
      </c>
      <c r="H781" s="28" t="n">
        <v>2</v>
      </c>
      <c r="I781" s="29" t="n">
        <v>1180</v>
      </c>
      <c r="J781" s="29" t="n">
        <v>2360</v>
      </c>
      <c r="K781" s="29" t="n">
        <f aca="false">H781*I781</f>
        <v>2360</v>
      </c>
      <c r="L781" s="29" t="n">
        <f aca="false">IFERROR(INDEX(Cat_Productos!$B$2:$B$6,MATCH(G781,Cat_Productos!$A$2:$A$6,0)),"")</f>
        <v>590</v>
      </c>
      <c r="M781" s="29" t="n">
        <f aca="false">IF(L781="","",H781*L781)</f>
        <v>1180</v>
      </c>
      <c r="N781" s="29" t="n">
        <f aca="false">IF(M781="","",J781-M781)</f>
        <v>1180</v>
      </c>
      <c r="O781" s="30" t="n">
        <f aca="false">IFERROR(N781/J781,0)</f>
        <v>0.5</v>
      </c>
      <c r="P781" s="27"/>
      <c r="Q781" s="27" t="s">
        <v>159</v>
      </c>
      <c r="R781" s="27" t="s">
        <v>154</v>
      </c>
      <c r="S781" s="27" t="n">
        <v>100</v>
      </c>
      <c r="T781" s="27"/>
    </row>
    <row r="782" customFormat="false" ht="15" hidden="false" customHeight="false" outlineLevel="0" collapsed="false">
      <c r="A782" s="26" t="n">
        <v>46147</v>
      </c>
      <c r="B782" s="27" t="n">
        <v>2026</v>
      </c>
      <c r="C782" s="27" t="n">
        <v>5</v>
      </c>
      <c r="D782" s="27" t="s">
        <v>84</v>
      </c>
      <c r="E782" s="27" t="s">
        <v>93</v>
      </c>
      <c r="F782" s="27" t="s">
        <v>107</v>
      </c>
      <c r="G782" s="27" t="s">
        <v>116</v>
      </c>
      <c r="H782" s="28" t="n">
        <v>2</v>
      </c>
      <c r="I782" s="29" t="n">
        <v>620</v>
      </c>
      <c r="J782" s="29" t="n">
        <v>1240</v>
      </c>
      <c r="K782" s="29" t="n">
        <f aca="false">H782*I782</f>
        <v>1240</v>
      </c>
      <c r="L782" s="29" t="n">
        <f aca="false">IFERROR(INDEX(Cat_Productos!$B$2:$B$6,MATCH(G782,Cat_Productos!$A$2:$A$6,0)),"")</f>
        <v>290</v>
      </c>
      <c r="M782" s="29" t="n">
        <f aca="false">IF(L782="","",H782*L782)</f>
        <v>580</v>
      </c>
      <c r="N782" s="29" t="n">
        <f aca="false">IF(M782="","",J782-M782)</f>
        <v>660</v>
      </c>
      <c r="O782" s="30" t="n">
        <f aca="false">IFERROR(N782/J782,0)</f>
        <v>0.532258064516129</v>
      </c>
      <c r="P782" s="27"/>
      <c r="Q782" s="27" t="s">
        <v>159</v>
      </c>
      <c r="R782" s="27" t="s">
        <v>154</v>
      </c>
      <c r="S782" s="27" t="n">
        <v>104</v>
      </c>
      <c r="T782" s="27"/>
    </row>
    <row r="783" customFormat="false" ht="15" hidden="false" customHeight="false" outlineLevel="0" collapsed="false">
      <c r="A783" s="26" t="n">
        <v>46147</v>
      </c>
      <c r="B783" s="27" t="n">
        <v>2026</v>
      </c>
      <c r="C783" s="27" t="n">
        <v>5</v>
      </c>
      <c r="D783" s="27" t="s">
        <v>84</v>
      </c>
      <c r="E783" s="27" t="s">
        <v>92</v>
      </c>
      <c r="F783" s="27" t="s">
        <v>104</v>
      </c>
      <c r="G783" s="27" t="s">
        <v>117</v>
      </c>
      <c r="H783" s="28" t="n">
        <v>6</v>
      </c>
      <c r="I783" s="29" t="n">
        <v>1450</v>
      </c>
      <c r="J783" s="29" t="n">
        <v>8700</v>
      </c>
      <c r="K783" s="29" t="n">
        <f aca="false">H783*I783</f>
        <v>8700</v>
      </c>
      <c r="L783" s="29" t="n">
        <f aca="false">IFERROR(INDEX(Cat_Productos!$B$2:$B$6,MATCH(G783,Cat_Productos!$A$2:$A$6,0)),"")</f>
        <v>780</v>
      </c>
      <c r="M783" s="29" t="n">
        <f aca="false">IF(L783="","",H783*L783)</f>
        <v>4680</v>
      </c>
      <c r="N783" s="29" t="n">
        <f aca="false">IF(M783="","",J783-M783)</f>
        <v>4020</v>
      </c>
      <c r="O783" s="30" t="n">
        <f aca="false">IFERROR(N783/J783,0)</f>
        <v>0.462068965517241</v>
      </c>
      <c r="P783" s="27"/>
      <c r="Q783" s="27" t="s">
        <v>159</v>
      </c>
      <c r="R783" s="27" t="s">
        <v>154</v>
      </c>
      <c r="S783" s="27" t="n">
        <v>41</v>
      </c>
      <c r="T783" s="27"/>
    </row>
    <row r="784" customFormat="false" ht="15" hidden="false" customHeight="false" outlineLevel="0" collapsed="false">
      <c r="A784" s="26" t="n">
        <v>46147</v>
      </c>
      <c r="B784" s="27" t="n">
        <v>2026</v>
      </c>
      <c r="C784" s="27" t="n">
        <v>5</v>
      </c>
      <c r="D784" s="27" t="s">
        <v>84</v>
      </c>
      <c r="E784" s="27" t="s">
        <v>91</v>
      </c>
      <c r="F784" s="27" t="s">
        <v>108</v>
      </c>
      <c r="G784" s="27" t="s">
        <v>114</v>
      </c>
      <c r="H784" s="28" t="n">
        <v>6</v>
      </c>
      <c r="I784" s="29" t="n">
        <v>24500</v>
      </c>
      <c r="J784" s="29" t="n">
        <v>147000</v>
      </c>
      <c r="K784" s="29" t="n">
        <f aca="false">H784*I784</f>
        <v>147000</v>
      </c>
      <c r="L784" s="29" t="n">
        <f aca="false">IFERROR(INDEX(Cat_Productos!$B$2:$B$6,MATCH(G784,Cat_Productos!$A$2:$A$6,0)),"")</f>
        <v>19200</v>
      </c>
      <c r="M784" s="29" t="n">
        <f aca="false">IF(L784="","",H784*L784)</f>
        <v>115200</v>
      </c>
      <c r="N784" s="29" t="n">
        <f aca="false">IF(M784="","",J784-M784)</f>
        <v>31800</v>
      </c>
      <c r="O784" s="30" t="n">
        <f aca="false">IFERROR(N784/J784,0)</f>
        <v>0.216326530612245</v>
      </c>
      <c r="P784" s="27"/>
      <c r="Q784" s="27" t="s">
        <v>159</v>
      </c>
      <c r="R784" s="27" t="s">
        <v>154</v>
      </c>
      <c r="S784" s="27" t="n">
        <v>2</v>
      </c>
      <c r="T784" s="27"/>
    </row>
    <row r="785" customFormat="false" ht="15" hidden="false" customHeight="false" outlineLevel="0" collapsed="false">
      <c r="A785" s="26" t="n">
        <v>46147</v>
      </c>
      <c r="B785" s="27" t="n">
        <v>2026</v>
      </c>
      <c r="C785" s="27" t="n">
        <v>5</v>
      </c>
      <c r="D785" s="27" t="s">
        <v>84</v>
      </c>
      <c r="E785" s="27" t="s">
        <v>93</v>
      </c>
      <c r="F785" s="27" t="s">
        <v>105</v>
      </c>
      <c r="G785" s="27" t="s">
        <v>116</v>
      </c>
      <c r="H785" s="28" t="n">
        <v>3</v>
      </c>
      <c r="I785" s="29" t="n">
        <v>620</v>
      </c>
      <c r="J785" s="29" t="n">
        <v>1860</v>
      </c>
      <c r="K785" s="29" t="n">
        <f aca="false">H785*I785</f>
        <v>1860</v>
      </c>
      <c r="L785" s="29" t="n">
        <f aca="false">IFERROR(INDEX(Cat_Productos!$B$2:$B$6,MATCH(G785,Cat_Productos!$A$2:$A$6,0)),"")</f>
        <v>290</v>
      </c>
      <c r="M785" s="29" t="n">
        <f aca="false">IF(L785="","",H785*L785)</f>
        <v>870</v>
      </c>
      <c r="N785" s="29" t="n">
        <f aca="false">IF(M785="","",J785-M785)</f>
        <v>990</v>
      </c>
      <c r="O785" s="30" t="n">
        <f aca="false">IFERROR(N785/J785,0)</f>
        <v>0.532258064516129</v>
      </c>
      <c r="P785" s="27"/>
      <c r="Q785" s="27" t="s">
        <v>159</v>
      </c>
      <c r="R785" s="27" t="s">
        <v>154</v>
      </c>
      <c r="S785" s="27" t="n">
        <v>14</v>
      </c>
      <c r="T785" s="27"/>
    </row>
    <row r="786" customFormat="false" ht="15" hidden="false" customHeight="false" outlineLevel="0" collapsed="false">
      <c r="A786" s="26" t="n">
        <v>46148</v>
      </c>
      <c r="B786" s="27" t="n">
        <v>2026</v>
      </c>
      <c r="C786" s="27" t="n">
        <v>5</v>
      </c>
      <c r="D786" s="27" t="s">
        <v>84</v>
      </c>
      <c r="E786" s="27" t="s">
        <v>91</v>
      </c>
      <c r="F786" s="27" t="s">
        <v>105</v>
      </c>
      <c r="G786" s="27" t="s">
        <v>118</v>
      </c>
      <c r="H786" s="28" t="n">
        <v>-1</v>
      </c>
      <c r="I786" s="29" t="n">
        <v>1180</v>
      </c>
      <c r="J786" s="29" t="n">
        <v>-1180</v>
      </c>
      <c r="K786" s="29" t="n">
        <f aca="false">H786*I786</f>
        <v>-1180</v>
      </c>
      <c r="L786" s="29" t="n">
        <f aca="false">IFERROR(INDEX(Cat_Productos!$B$2:$B$6,MATCH(G786,Cat_Productos!$A$2:$A$6,0)),"")</f>
        <v>590</v>
      </c>
      <c r="M786" s="29" t="n">
        <f aca="false">IF(L786="","",H786*L786)</f>
        <v>-590</v>
      </c>
      <c r="N786" s="29" t="n">
        <f aca="false">IF(M786="","",J786-M786)</f>
        <v>-590</v>
      </c>
      <c r="O786" s="30" t="n">
        <f aca="false">IFERROR(N786/J786,0)</f>
        <v>0.5</v>
      </c>
      <c r="P786" s="27"/>
      <c r="Q786" s="27" t="s">
        <v>159</v>
      </c>
      <c r="R786" s="27" t="s">
        <v>154</v>
      </c>
      <c r="S786" s="27" t="n">
        <v>32</v>
      </c>
      <c r="T786" s="27"/>
    </row>
    <row r="787" customFormat="false" ht="15" hidden="false" customHeight="false" outlineLevel="0" collapsed="false">
      <c r="A787" s="26" t="n">
        <v>46148</v>
      </c>
      <c r="B787" s="27" t="n">
        <v>2026</v>
      </c>
      <c r="C787" s="27" t="n">
        <v>5</v>
      </c>
      <c r="D787" s="27" t="s">
        <v>84</v>
      </c>
      <c r="E787" s="27" t="s">
        <v>91</v>
      </c>
      <c r="F787" s="27" t="s">
        <v>103</v>
      </c>
      <c r="G787" s="27" t="s">
        <v>116</v>
      </c>
      <c r="H787" s="28" t="n">
        <v>6</v>
      </c>
      <c r="I787" s="29" t="n">
        <v>620</v>
      </c>
      <c r="J787" s="29" t="n">
        <v>3720</v>
      </c>
      <c r="K787" s="29" t="n">
        <f aca="false">H787*I787</f>
        <v>3720</v>
      </c>
      <c r="L787" s="29" t="n">
        <f aca="false">IFERROR(INDEX(Cat_Productos!$B$2:$B$6,MATCH(G787,Cat_Productos!$A$2:$A$6,0)),"")</f>
        <v>290</v>
      </c>
      <c r="M787" s="29" t="n">
        <f aca="false">IF(L787="","",H787*L787)</f>
        <v>1740</v>
      </c>
      <c r="N787" s="29" t="n">
        <f aca="false">IF(M787="","",J787-M787)</f>
        <v>1980</v>
      </c>
      <c r="O787" s="30" t="n">
        <f aca="false">IFERROR(N787/J787,0)</f>
        <v>0.532258064516129</v>
      </c>
      <c r="P787" s="27"/>
      <c r="Q787" s="27" t="s">
        <v>159</v>
      </c>
      <c r="R787" s="27" t="s">
        <v>154</v>
      </c>
      <c r="S787" s="27" t="n">
        <v>89</v>
      </c>
      <c r="T787" s="27"/>
    </row>
    <row r="788" customFormat="false" ht="15" hidden="false" customHeight="false" outlineLevel="0" collapsed="false">
      <c r="A788" s="26" t="n">
        <v>46148</v>
      </c>
      <c r="B788" s="27" t="n">
        <v>2026</v>
      </c>
      <c r="C788" s="27" t="n">
        <v>5</v>
      </c>
      <c r="D788" s="27" t="s">
        <v>84</v>
      </c>
      <c r="E788" s="27" t="s">
        <v>93</v>
      </c>
      <c r="F788" s="27" t="s">
        <v>106</v>
      </c>
      <c r="G788" s="27" t="s">
        <v>115</v>
      </c>
      <c r="H788" s="28" t="n">
        <v>4</v>
      </c>
      <c r="I788" s="29" t="n">
        <v>6200</v>
      </c>
      <c r="J788" s="29" t="n">
        <v>24800</v>
      </c>
      <c r="K788" s="29" t="n">
        <f aca="false">H788*I788</f>
        <v>24800</v>
      </c>
      <c r="L788" s="29" t="n">
        <f aca="false">IFERROR(INDEX(Cat_Productos!$B$2:$B$6,MATCH(G788,Cat_Productos!$A$2:$A$6,0)),"")</f>
        <v>4100</v>
      </c>
      <c r="M788" s="29" t="n">
        <f aca="false">IF(L788="","",H788*L788)</f>
        <v>16400</v>
      </c>
      <c r="N788" s="29" t="n">
        <f aca="false">IF(M788="","",J788-M788)</f>
        <v>8400</v>
      </c>
      <c r="O788" s="30" t="n">
        <f aca="false">IFERROR(N788/J788,0)</f>
        <v>0.338709677419355</v>
      </c>
      <c r="P788" s="27"/>
      <c r="Q788" s="27" t="s">
        <v>159</v>
      </c>
      <c r="R788" s="27" t="s">
        <v>154</v>
      </c>
      <c r="S788" s="27" t="n">
        <v>11</v>
      </c>
      <c r="T788" s="27"/>
    </row>
    <row r="789" customFormat="false" ht="15" hidden="false" customHeight="false" outlineLevel="0" collapsed="false">
      <c r="A789" s="26" t="n">
        <v>46148</v>
      </c>
      <c r="B789" s="27" t="n">
        <v>2026</v>
      </c>
      <c r="C789" s="27" t="n">
        <v>5</v>
      </c>
      <c r="D789" s="27" t="s">
        <v>84</v>
      </c>
      <c r="E789" s="27" t="s">
        <v>92</v>
      </c>
      <c r="F789" s="27" t="s">
        <v>105</v>
      </c>
      <c r="G789" s="27" t="s">
        <v>114</v>
      </c>
      <c r="H789" s="28" t="n">
        <v>6</v>
      </c>
      <c r="I789" s="29" t="n">
        <v>24500</v>
      </c>
      <c r="J789" s="29" t="n">
        <v>147000</v>
      </c>
      <c r="K789" s="29" t="n">
        <f aca="false">H789*I789</f>
        <v>147000</v>
      </c>
      <c r="L789" s="29" t="n">
        <f aca="false">IFERROR(INDEX(Cat_Productos!$B$2:$B$6,MATCH(G789,Cat_Productos!$A$2:$A$6,0)),"")</f>
        <v>19200</v>
      </c>
      <c r="M789" s="29" t="n">
        <f aca="false">IF(L789="","",H789*L789)</f>
        <v>115200</v>
      </c>
      <c r="N789" s="29" t="n">
        <f aca="false">IF(M789="","",J789-M789)</f>
        <v>31800</v>
      </c>
      <c r="O789" s="30" t="n">
        <f aca="false">IFERROR(N789/J789,0)</f>
        <v>0.216326530612245</v>
      </c>
      <c r="P789" s="27"/>
      <c r="Q789" s="27" t="s">
        <v>159</v>
      </c>
      <c r="R789" s="27" t="s">
        <v>154</v>
      </c>
      <c r="S789" s="27" t="n">
        <v>69</v>
      </c>
      <c r="T789" s="27"/>
    </row>
    <row r="790" customFormat="false" ht="15" hidden="false" customHeight="false" outlineLevel="0" collapsed="false">
      <c r="A790" s="26" t="n">
        <v>46149</v>
      </c>
      <c r="B790" s="27" t="n">
        <v>2026</v>
      </c>
      <c r="C790" s="27" t="n">
        <v>5</v>
      </c>
      <c r="D790" s="27" t="s">
        <v>84</v>
      </c>
      <c r="E790" s="27" t="s">
        <v>91</v>
      </c>
      <c r="F790" s="27" t="s">
        <v>104</v>
      </c>
      <c r="G790" s="27" t="s">
        <v>116</v>
      </c>
      <c r="H790" s="28" t="n">
        <v>3</v>
      </c>
      <c r="I790" s="29" t="n">
        <v>620</v>
      </c>
      <c r="J790" s="29" t="n">
        <v>1860</v>
      </c>
      <c r="K790" s="29" t="n">
        <f aca="false">H790*I790</f>
        <v>1860</v>
      </c>
      <c r="L790" s="29" t="n">
        <f aca="false">IFERROR(INDEX(Cat_Productos!$B$2:$B$6,MATCH(G790,Cat_Productos!$A$2:$A$6,0)),"")</f>
        <v>290</v>
      </c>
      <c r="M790" s="29" t="n">
        <f aca="false">IF(L790="","",H790*L790)</f>
        <v>870</v>
      </c>
      <c r="N790" s="29" t="n">
        <f aca="false">IF(M790="","",J790-M790)</f>
        <v>990</v>
      </c>
      <c r="O790" s="30" t="n">
        <f aca="false">IFERROR(N790/J790,0)</f>
        <v>0.532258064516129</v>
      </c>
      <c r="P790" s="27"/>
      <c r="Q790" s="27" t="s">
        <v>159</v>
      </c>
      <c r="R790" s="27" t="s">
        <v>154</v>
      </c>
      <c r="S790" s="27" t="n">
        <v>93</v>
      </c>
      <c r="T790" s="27"/>
    </row>
    <row r="791" customFormat="false" ht="15" hidden="false" customHeight="false" outlineLevel="0" collapsed="false">
      <c r="A791" s="26" t="n">
        <v>46149</v>
      </c>
      <c r="B791" s="27" t="n">
        <v>2026</v>
      </c>
      <c r="C791" s="27" t="n">
        <v>5</v>
      </c>
      <c r="D791" s="27" t="s">
        <v>84</v>
      </c>
      <c r="E791" s="27" t="s">
        <v>91</v>
      </c>
      <c r="F791" s="27" t="s">
        <v>105</v>
      </c>
      <c r="G791" s="27" t="s">
        <v>117</v>
      </c>
      <c r="H791" s="28" t="n">
        <v>6</v>
      </c>
      <c r="I791" s="29" t="n">
        <v>1450</v>
      </c>
      <c r="J791" s="29" t="n">
        <v>8700</v>
      </c>
      <c r="K791" s="29" t="n">
        <f aca="false">H791*I791</f>
        <v>8700</v>
      </c>
      <c r="L791" s="29" t="n">
        <f aca="false">IFERROR(INDEX(Cat_Productos!$B$2:$B$6,MATCH(G791,Cat_Productos!$A$2:$A$6,0)),"")</f>
        <v>780</v>
      </c>
      <c r="M791" s="29" t="n">
        <f aca="false">IF(L791="","",H791*L791)</f>
        <v>4680</v>
      </c>
      <c r="N791" s="29" t="n">
        <f aca="false">IF(M791="","",J791-M791)</f>
        <v>4020</v>
      </c>
      <c r="O791" s="30" t="n">
        <f aca="false">IFERROR(N791/J791,0)</f>
        <v>0.462068965517241</v>
      </c>
      <c r="P791" s="27"/>
      <c r="Q791" s="27" t="s">
        <v>159</v>
      </c>
      <c r="R791" s="27" t="s">
        <v>154</v>
      </c>
      <c r="S791" s="27" t="n">
        <v>51</v>
      </c>
      <c r="T791" s="27"/>
    </row>
    <row r="792" customFormat="false" ht="15" hidden="false" customHeight="false" outlineLevel="0" collapsed="false">
      <c r="A792" s="26" t="n">
        <v>46149</v>
      </c>
      <c r="B792" s="27" t="n">
        <v>2026</v>
      </c>
      <c r="C792" s="27" t="n">
        <v>5</v>
      </c>
      <c r="D792" s="27" t="s">
        <v>84</v>
      </c>
      <c r="E792" s="27" t="s">
        <v>92</v>
      </c>
      <c r="F792" s="27" t="s">
        <v>107</v>
      </c>
      <c r="G792" s="27" t="s">
        <v>115</v>
      </c>
      <c r="H792" s="28" t="n">
        <v>4</v>
      </c>
      <c r="I792" s="29" t="n">
        <v>6200</v>
      </c>
      <c r="J792" s="29" t="n">
        <v>24800</v>
      </c>
      <c r="K792" s="29" t="n">
        <f aca="false">H792*I792</f>
        <v>24800</v>
      </c>
      <c r="L792" s="29" t="n">
        <f aca="false">IFERROR(INDEX(Cat_Productos!$B$2:$B$6,MATCH(G792,Cat_Productos!$A$2:$A$6,0)),"")</f>
        <v>4100</v>
      </c>
      <c r="M792" s="29" t="n">
        <f aca="false">IF(L792="","",H792*L792)</f>
        <v>16400</v>
      </c>
      <c r="N792" s="29" t="n">
        <f aca="false">IF(M792="","",J792-M792)</f>
        <v>8400</v>
      </c>
      <c r="O792" s="30" t="n">
        <f aca="false">IFERROR(N792/J792,0)</f>
        <v>0.338709677419355</v>
      </c>
      <c r="P792" s="27"/>
      <c r="Q792" s="27" t="s">
        <v>159</v>
      </c>
      <c r="R792" s="27" t="s">
        <v>154</v>
      </c>
      <c r="S792" s="27" t="n">
        <v>34</v>
      </c>
      <c r="T792" s="27"/>
    </row>
    <row r="793" customFormat="false" ht="15" hidden="false" customHeight="false" outlineLevel="0" collapsed="false">
      <c r="A793" s="26" t="n">
        <v>46149</v>
      </c>
      <c r="B793" s="27" t="n">
        <v>2026</v>
      </c>
      <c r="C793" s="27" t="n">
        <v>5</v>
      </c>
      <c r="D793" s="27" t="s">
        <v>84</v>
      </c>
      <c r="E793" s="27" t="s">
        <v>92</v>
      </c>
      <c r="F793" s="27" t="s">
        <v>108</v>
      </c>
      <c r="G793" s="27" t="s">
        <v>115</v>
      </c>
      <c r="H793" s="28" t="n">
        <v>6</v>
      </c>
      <c r="I793" s="29" t="n">
        <v>6200</v>
      </c>
      <c r="J793" s="29" t="n">
        <v>37200</v>
      </c>
      <c r="K793" s="29" t="n">
        <f aca="false">H793*I793</f>
        <v>37200</v>
      </c>
      <c r="L793" s="29" t="n">
        <f aca="false">IFERROR(INDEX(Cat_Productos!$B$2:$B$6,MATCH(G793,Cat_Productos!$A$2:$A$6,0)),"")</f>
        <v>4100</v>
      </c>
      <c r="M793" s="29" t="n">
        <f aca="false">IF(L793="","",H793*L793)</f>
        <v>24600</v>
      </c>
      <c r="N793" s="29" t="n">
        <f aca="false">IF(M793="","",J793-M793)</f>
        <v>12600</v>
      </c>
      <c r="O793" s="30" t="n">
        <f aca="false">IFERROR(N793/J793,0)</f>
        <v>0.338709677419355</v>
      </c>
      <c r="P793" s="27"/>
      <c r="Q793" s="27" t="s">
        <v>159</v>
      </c>
      <c r="R793" s="27" t="s">
        <v>154</v>
      </c>
      <c r="S793" s="27" t="n">
        <v>46</v>
      </c>
      <c r="T793" s="27"/>
    </row>
    <row r="794" customFormat="false" ht="15" hidden="false" customHeight="false" outlineLevel="0" collapsed="false">
      <c r="A794" s="26" t="n">
        <v>46149</v>
      </c>
      <c r="B794" s="27" t="n">
        <v>2026</v>
      </c>
      <c r="C794" s="27" t="n">
        <v>5</v>
      </c>
      <c r="D794" s="27" t="s">
        <v>84</v>
      </c>
      <c r="E794" s="27" t="s">
        <v>91</v>
      </c>
      <c r="F794" s="27" t="s">
        <v>104</v>
      </c>
      <c r="G794" s="27" t="s">
        <v>118</v>
      </c>
      <c r="H794" s="28" t="n">
        <v>6</v>
      </c>
      <c r="I794" s="29" t="n">
        <v>1180</v>
      </c>
      <c r="J794" s="29" t="n">
        <v>7080</v>
      </c>
      <c r="K794" s="29" t="n">
        <f aca="false">H794*I794</f>
        <v>7080</v>
      </c>
      <c r="L794" s="29" t="n">
        <f aca="false">IFERROR(INDEX(Cat_Productos!$B$2:$B$6,MATCH(G794,Cat_Productos!$A$2:$A$6,0)),"")</f>
        <v>590</v>
      </c>
      <c r="M794" s="29" t="n">
        <f aca="false">IF(L794="","",H794*L794)</f>
        <v>3540</v>
      </c>
      <c r="N794" s="29" t="n">
        <f aca="false">IF(M794="","",J794-M794)</f>
        <v>3540</v>
      </c>
      <c r="O794" s="30" t="n">
        <f aca="false">IFERROR(N794/J794,0)</f>
        <v>0.5</v>
      </c>
      <c r="P794" s="27"/>
      <c r="Q794" s="27" t="s">
        <v>159</v>
      </c>
      <c r="R794" s="27" t="s">
        <v>154</v>
      </c>
      <c r="S794" s="27" t="n">
        <v>99</v>
      </c>
      <c r="T794" s="27"/>
    </row>
    <row r="795" customFormat="false" ht="15" hidden="false" customHeight="false" outlineLevel="0" collapsed="false">
      <c r="A795" s="26" t="n">
        <v>46150</v>
      </c>
      <c r="B795" s="27" t="n">
        <v>2026</v>
      </c>
      <c r="C795" s="27" t="n">
        <v>5</v>
      </c>
      <c r="D795" s="27" t="s">
        <v>84</v>
      </c>
      <c r="E795" s="27" t="s">
        <v>93</v>
      </c>
      <c r="F795" s="27" t="s">
        <v>107</v>
      </c>
      <c r="G795" s="27" t="s">
        <v>115</v>
      </c>
      <c r="H795" s="28" t="n">
        <v>2</v>
      </c>
      <c r="I795" s="29" t="n">
        <v>6200</v>
      </c>
      <c r="J795" s="29" t="n">
        <v>12400</v>
      </c>
      <c r="K795" s="29" t="n">
        <f aca="false">H795*I795</f>
        <v>12400</v>
      </c>
      <c r="L795" s="29" t="n">
        <f aca="false">IFERROR(INDEX(Cat_Productos!$B$2:$B$6,MATCH(G795,Cat_Productos!$A$2:$A$6,0)),"")</f>
        <v>4100</v>
      </c>
      <c r="M795" s="29" t="n">
        <f aca="false">IF(L795="","",H795*L795)</f>
        <v>8200</v>
      </c>
      <c r="N795" s="29" t="n">
        <f aca="false">IF(M795="","",J795-M795)</f>
        <v>4200</v>
      </c>
      <c r="O795" s="30" t="n">
        <f aca="false">IFERROR(N795/J795,0)</f>
        <v>0.338709677419355</v>
      </c>
      <c r="P795" s="27"/>
      <c r="Q795" s="27" t="s">
        <v>159</v>
      </c>
      <c r="R795" s="27" t="s">
        <v>154</v>
      </c>
      <c r="S795" s="27" t="n">
        <v>83</v>
      </c>
      <c r="T795" s="27"/>
    </row>
    <row r="796" customFormat="false" ht="15" hidden="false" customHeight="false" outlineLevel="0" collapsed="false">
      <c r="A796" s="26" t="n">
        <v>46150</v>
      </c>
      <c r="B796" s="27" t="n">
        <v>2026</v>
      </c>
      <c r="C796" s="27" t="n">
        <v>5</v>
      </c>
      <c r="D796" s="27" t="s">
        <v>84</v>
      </c>
      <c r="E796" s="27" t="s">
        <v>91</v>
      </c>
      <c r="F796" s="27" t="s">
        <v>104</v>
      </c>
      <c r="G796" s="27" t="s">
        <v>114</v>
      </c>
      <c r="H796" s="28" t="n">
        <v>2</v>
      </c>
      <c r="I796" s="29" t="n">
        <v>24500</v>
      </c>
      <c r="J796" s="29" t="n">
        <v>49000</v>
      </c>
      <c r="K796" s="29" t="n">
        <f aca="false">H796*I796</f>
        <v>49000</v>
      </c>
      <c r="L796" s="29" t="n">
        <f aca="false">IFERROR(INDEX(Cat_Productos!$B$2:$B$6,MATCH(G796,Cat_Productos!$A$2:$A$6,0)),"")</f>
        <v>19200</v>
      </c>
      <c r="M796" s="29" t="n">
        <f aca="false">IF(L796="","",H796*L796)</f>
        <v>38400</v>
      </c>
      <c r="N796" s="29" t="n">
        <f aca="false">IF(M796="","",J796-M796)</f>
        <v>10600</v>
      </c>
      <c r="O796" s="30" t="n">
        <f aca="false">IFERROR(N796/J796,0)</f>
        <v>0.216326530612245</v>
      </c>
      <c r="P796" s="27"/>
      <c r="Q796" s="27" t="s">
        <v>159</v>
      </c>
      <c r="R796" s="27" t="s">
        <v>154</v>
      </c>
      <c r="S796" s="27" t="n">
        <v>54</v>
      </c>
      <c r="T796" s="27"/>
    </row>
    <row r="797" customFormat="false" ht="15" hidden="false" customHeight="false" outlineLevel="0" collapsed="false">
      <c r="A797" s="26" t="n">
        <v>46150</v>
      </c>
      <c r="B797" s="27" t="n">
        <v>2026</v>
      </c>
      <c r="C797" s="27" t="n">
        <v>5</v>
      </c>
      <c r="D797" s="27" t="s">
        <v>84</v>
      </c>
      <c r="E797" s="27" t="s">
        <v>92</v>
      </c>
      <c r="F797" s="27" t="s">
        <v>104</v>
      </c>
      <c r="G797" s="27" t="s">
        <v>116</v>
      </c>
      <c r="H797" s="28" t="n">
        <v>1</v>
      </c>
      <c r="I797" s="29" t="n">
        <v>620</v>
      </c>
      <c r="J797" s="29" t="n">
        <v>620</v>
      </c>
      <c r="K797" s="29" t="n">
        <f aca="false">H797*I797</f>
        <v>620</v>
      </c>
      <c r="L797" s="29" t="n">
        <f aca="false">IFERROR(INDEX(Cat_Productos!$B$2:$B$6,MATCH(G797,Cat_Productos!$A$2:$A$6,0)),"")</f>
        <v>290</v>
      </c>
      <c r="M797" s="29" t="n">
        <f aca="false">IF(L797="","",H797*L797)</f>
        <v>290</v>
      </c>
      <c r="N797" s="29" t="n">
        <f aca="false">IF(M797="","",J797-M797)</f>
        <v>330</v>
      </c>
      <c r="O797" s="30" t="n">
        <f aca="false">IFERROR(N797/J797,0)</f>
        <v>0.532258064516129</v>
      </c>
      <c r="P797" s="27"/>
      <c r="Q797" s="27" t="s">
        <v>159</v>
      </c>
      <c r="R797" s="27" t="s">
        <v>154</v>
      </c>
      <c r="S797" s="27" t="n">
        <v>98</v>
      </c>
      <c r="T797" s="27"/>
    </row>
    <row r="798" customFormat="false" ht="15" hidden="false" customHeight="false" outlineLevel="0" collapsed="false">
      <c r="A798" s="26" t="n">
        <v>46150</v>
      </c>
      <c r="B798" s="27" t="n">
        <v>2026</v>
      </c>
      <c r="C798" s="27" t="n">
        <v>5</v>
      </c>
      <c r="D798" s="27" t="s">
        <v>84</v>
      </c>
      <c r="E798" s="27" t="s">
        <v>92</v>
      </c>
      <c r="F798" s="27" t="s">
        <v>106</v>
      </c>
      <c r="G798" s="27" t="s">
        <v>117</v>
      </c>
      <c r="H798" s="28" t="n">
        <v>4</v>
      </c>
      <c r="I798" s="29" t="n">
        <v>1450</v>
      </c>
      <c r="J798" s="29" t="n">
        <v>5800</v>
      </c>
      <c r="K798" s="29" t="n">
        <f aca="false">H798*I798</f>
        <v>5800</v>
      </c>
      <c r="L798" s="29" t="n">
        <f aca="false">IFERROR(INDEX(Cat_Productos!$B$2:$B$6,MATCH(G798,Cat_Productos!$A$2:$A$6,0)),"")</f>
        <v>780</v>
      </c>
      <c r="M798" s="29" t="n">
        <f aca="false">IF(L798="","",H798*L798)</f>
        <v>3120</v>
      </c>
      <c r="N798" s="29" t="n">
        <f aca="false">IF(M798="","",J798-M798)</f>
        <v>2680</v>
      </c>
      <c r="O798" s="30" t="n">
        <f aca="false">IFERROR(N798/J798,0)</f>
        <v>0.462068965517241</v>
      </c>
      <c r="P798" s="27"/>
      <c r="Q798" s="27" t="s">
        <v>159</v>
      </c>
      <c r="R798" s="27" t="s">
        <v>154</v>
      </c>
      <c r="S798" s="27" t="n">
        <v>124</v>
      </c>
      <c r="T798" s="27"/>
    </row>
    <row r="799" customFormat="false" ht="15" hidden="false" customHeight="false" outlineLevel="0" collapsed="false">
      <c r="A799" s="26" t="n">
        <v>46150</v>
      </c>
      <c r="B799" s="27" t="n">
        <v>2026</v>
      </c>
      <c r="C799" s="27" t="n">
        <v>5</v>
      </c>
      <c r="D799" s="27" t="s">
        <v>84</v>
      </c>
      <c r="E799" s="27" t="s">
        <v>93</v>
      </c>
      <c r="F799" s="27" t="s">
        <v>105</v>
      </c>
      <c r="G799" s="27" t="s">
        <v>115</v>
      </c>
      <c r="H799" s="28" t="n">
        <v>4</v>
      </c>
      <c r="I799" s="29" t="n">
        <v>6200</v>
      </c>
      <c r="J799" s="29" t="n">
        <v>24800</v>
      </c>
      <c r="K799" s="29" t="n">
        <f aca="false">H799*I799</f>
        <v>24800</v>
      </c>
      <c r="L799" s="29" t="n">
        <f aca="false">IFERROR(INDEX(Cat_Productos!$B$2:$B$6,MATCH(G799,Cat_Productos!$A$2:$A$6,0)),"")</f>
        <v>4100</v>
      </c>
      <c r="M799" s="29" t="n">
        <f aca="false">IF(L799="","",H799*L799)</f>
        <v>16400</v>
      </c>
      <c r="N799" s="29" t="n">
        <f aca="false">IF(M799="","",J799-M799)</f>
        <v>8400</v>
      </c>
      <c r="O799" s="30" t="n">
        <f aca="false">IFERROR(N799/J799,0)</f>
        <v>0.338709677419355</v>
      </c>
      <c r="P799" s="27"/>
      <c r="Q799" s="27" t="s">
        <v>159</v>
      </c>
      <c r="R799" s="27" t="s">
        <v>154</v>
      </c>
      <c r="S799" s="27" t="n">
        <v>29</v>
      </c>
      <c r="T799" s="27"/>
    </row>
    <row r="800" customFormat="false" ht="15" hidden="false" customHeight="false" outlineLevel="0" collapsed="false">
      <c r="A800" s="26" t="n">
        <v>46151</v>
      </c>
      <c r="B800" s="27" t="n">
        <v>2026</v>
      </c>
      <c r="C800" s="27" t="n">
        <v>5</v>
      </c>
      <c r="D800" s="27" t="s">
        <v>84</v>
      </c>
      <c r="E800" s="27" t="s">
        <v>93</v>
      </c>
      <c r="F800" s="27" t="s">
        <v>106</v>
      </c>
      <c r="G800" s="27" t="s">
        <v>114</v>
      </c>
      <c r="H800" s="28" t="n">
        <v>6</v>
      </c>
      <c r="I800" s="29" t="n">
        <v>24500</v>
      </c>
      <c r="J800" s="29" t="n">
        <v>147000</v>
      </c>
      <c r="K800" s="29" t="n">
        <f aca="false">H800*I800</f>
        <v>147000</v>
      </c>
      <c r="L800" s="29" t="n">
        <f aca="false">IFERROR(INDEX(Cat_Productos!$B$2:$B$6,MATCH(G800,Cat_Productos!$A$2:$A$6,0)),"")</f>
        <v>19200</v>
      </c>
      <c r="M800" s="29" t="n">
        <f aca="false">IF(L800="","",H800*L800)</f>
        <v>115200</v>
      </c>
      <c r="N800" s="29" t="n">
        <f aca="false">IF(M800="","",J800-M800)</f>
        <v>31800</v>
      </c>
      <c r="O800" s="30" t="n">
        <f aca="false">IFERROR(N800/J800,0)</f>
        <v>0.216326530612245</v>
      </c>
      <c r="P800" s="27"/>
      <c r="Q800" s="27" t="s">
        <v>159</v>
      </c>
      <c r="R800" s="27" t="s">
        <v>154</v>
      </c>
      <c r="S800" s="27" t="n">
        <v>107</v>
      </c>
      <c r="T800" s="27"/>
    </row>
    <row r="801" customFormat="false" ht="15" hidden="false" customHeight="false" outlineLevel="0" collapsed="false">
      <c r="A801" s="26" t="n">
        <v>46151</v>
      </c>
      <c r="B801" s="27" t="n">
        <v>2026</v>
      </c>
      <c r="C801" s="27" t="n">
        <v>5</v>
      </c>
      <c r="D801" s="27" t="s">
        <v>84</v>
      </c>
      <c r="E801" s="27" t="s">
        <v>92</v>
      </c>
      <c r="F801" s="27" t="s">
        <v>108</v>
      </c>
      <c r="G801" s="27" t="s">
        <v>118</v>
      </c>
      <c r="H801" s="28" t="n">
        <v>3</v>
      </c>
      <c r="I801" s="29" t="n">
        <v>1180</v>
      </c>
      <c r="J801" s="29" t="n">
        <v>3540</v>
      </c>
      <c r="K801" s="29" t="n">
        <f aca="false">H801*I801</f>
        <v>3540</v>
      </c>
      <c r="L801" s="29" t="n">
        <f aca="false">IFERROR(INDEX(Cat_Productos!$B$2:$B$6,MATCH(G801,Cat_Productos!$A$2:$A$6,0)),"")</f>
        <v>590</v>
      </c>
      <c r="M801" s="29" t="n">
        <f aca="false">IF(L801="","",H801*L801)</f>
        <v>1770</v>
      </c>
      <c r="N801" s="29" t="n">
        <f aca="false">IF(M801="","",J801-M801)</f>
        <v>1770</v>
      </c>
      <c r="O801" s="30" t="n">
        <f aca="false">IFERROR(N801/J801,0)</f>
        <v>0.5</v>
      </c>
      <c r="P801" s="27"/>
      <c r="Q801" s="27" t="s">
        <v>159</v>
      </c>
      <c r="R801" s="27" t="s">
        <v>154</v>
      </c>
      <c r="S801" s="27" t="n">
        <v>84</v>
      </c>
      <c r="T801" s="27"/>
    </row>
    <row r="802" customFormat="false" ht="15" hidden="false" customHeight="false" outlineLevel="0" collapsed="false">
      <c r="A802" s="26" t="n">
        <v>46151</v>
      </c>
      <c r="B802" s="27" t="n">
        <v>2026</v>
      </c>
      <c r="C802" s="27" t="n">
        <v>5</v>
      </c>
      <c r="D802" s="27" t="s">
        <v>84</v>
      </c>
      <c r="E802" s="27" t="s">
        <v>91</v>
      </c>
      <c r="F802" s="27" t="s">
        <v>105</v>
      </c>
      <c r="G802" s="27" t="s">
        <v>114</v>
      </c>
      <c r="H802" s="28" t="n">
        <v>6</v>
      </c>
      <c r="I802" s="29" t="n">
        <v>24500</v>
      </c>
      <c r="J802" s="29" t="n">
        <v>147000</v>
      </c>
      <c r="K802" s="29" t="n">
        <f aca="false">H802*I802</f>
        <v>147000</v>
      </c>
      <c r="L802" s="29" t="n">
        <f aca="false">IFERROR(INDEX(Cat_Productos!$B$2:$B$6,MATCH(G802,Cat_Productos!$A$2:$A$6,0)),"")</f>
        <v>19200</v>
      </c>
      <c r="M802" s="29" t="n">
        <f aca="false">IF(L802="","",H802*L802)</f>
        <v>115200</v>
      </c>
      <c r="N802" s="29" t="n">
        <f aca="false">IF(M802="","",J802-M802)</f>
        <v>31800</v>
      </c>
      <c r="O802" s="30" t="n">
        <f aca="false">IFERROR(N802/J802,0)</f>
        <v>0.216326530612245</v>
      </c>
      <c r="P802" s="27"/>
      <c r="Q802" s="27" t="s">
        <v>159</v>
      </c>
      <c r="R802" s="27" t="s">
        <v>154</v>
      </c>
      <c r="S802" s="27" t="n">
        <v>28</v>
      </c>
      <c r="T802" s="27"/>
    </row>
    <row r="803" customFormat="false" ht="15" hidden="false" customHeight="false" outlineLevel="0" collapsed="false">
      <c r="A803" s="26" t="n">
        <v>46151</v>
      </c>
      <c r="B803" s="27" t="n">
        <v>2026</v>
      </c>
      <c r="C803" s="27" t="n">
        <v>5</v>
      </c>
      <c r="D803" s="27" t="s">
        <v>84</v>
      </c>
      <c r="E803" s="27" t="s">
        <v>91</v>
      </c>
      <c r="F803" s="27" t="s">
        <v>108</v>
      </c>
      <c r="G803" s="27" t="s">
        <v>117</v>
      </c>
      <c r="H803" s="28" t="n">
        <v>1</v>
      </c>
      <c r="I803" s="29" t="n">
        <v>1450</v>
      </c>
      <c r="J803" s="29" t="n">
        <v>1450</v>
      </c>
      <c r="K803" s="29" t="n">
        <f aca="false">H803*I803</f>
        <v>1450</v>
      </c>
      <c r="L803" s="29" t="n">
        <f aca="false">IFERROR(INDEX(Cat_Productos!$B$2:$B$6,MATCH(G803,Cat_Productos!$A$2:$A$6,0)),"")</f>
        <v>780</v>
      </c>
      <c r="M803" s="29" t="n">
        <f aca="false">IF(L803="","",H803*L803)</f>
        <v>780</v>
      </c>
      <c r="N803" s="29" t="n">
        <f aca="false">IF(M803="","",J803-M803)</f>
        <v>670</v>
      </c>
      <c r="O803" s="30" t="n">
        <f aca="false">IFERROR(N803/J803,0)</f>
        <v>0.462068965517241</v>
      </c>
      <c r="P803" s="27"/>
      <c r="Q803" s="27" t="s">
        <v>159</v>
      </c>
      <c r="R803" s="27" t="s">
        <v>154</v>
      </c>
      <c r="S803" s="27" t="n">
        <v>45</v>
      </c>
      <c r="T803" s="27"/>
    </row>
    <row r="804" customFormat="false" ht="15" hidden="false" customHeight="false" outlineLevel="0" collapsed="false">
      <c r="A804" s="26" t="n">
        <v>46151</v>
      </c>
      <c r="B804" s="27" t="n">
        <v>2026</v>
      </c>
      <c r="C804" s="27" t="n">
        <v>5</v>
      </c>
      <c r="D804" s="27" t="s">
        <v>84</v>
      </c>
      <c r="E804" s="27" t="s">
        <v>91</v>
      </c>
      <c r="F804" s="27" t="s">
        <v>103</v>
      </c>
      <c r="G804" s="27" t="s">
        <v>116</v>
      </c>
      <c r="H804" s="28" t="n">
        <v>4</v>
      </c>
      <c r="I804" s="29" t="n">
        <v>620</v>
      </c>
      <c r="J804" s="29" t="n">
        <v>2480</v>
      </c>
      <c r="K804" s="29" t="n">
        <f aca="false">H804*I804</f>
        <v>2480</v>
      </c>
      <c r="L804" s="29" t="n">
        <f aca="false">IFERROR(INDEX(Cat_Productos!$B$2:$B$6,MATCH(G804,Cat_Productos!$A$2:$A$6,0)),"")</f>
        <v>290</v>
      </c>
      <c r="M804" s="29" t="n">
        <f aca="false">IF(L804="","",H804*L804)</f>
        <v>1160</v>
      </c>
      <c r="N804" s="29" t="n">
        <f aca="false">IF(M804="","",J804-M804)</f>
        <v>1320</v>
      </c>
      <c r="O804" s="30" t="n">
        <f aca="false">IFERROR(N804/J804,0)</f>
        <v>0.532258064516129</v>
      </c>
      <c r="P804" s="27"/>
      <c r="Q804" s="27" t="s">
        <v>159</v>
      </c>
      <c r="R804" s="27" t="s">
        <v>154</v>
      </c>
      <c r="S804" s="27" t="n">
        <v>103</v>
      </c>
      <c r="T804" s="27"/>
    </row>
    <row r="805" customFormat="false" ht="15" hidden="false" customHeight="false" outlineLevel="0" collapsed="false">
      <c r="A805" s="26" t="n">
        <v>46151</v>
      </c>
      <c r="B805" s="27" t="n">
        <v>2026</v>
      </c>
      <c r="C805" s="27" t="n">
        <v>5</v>
      </c>
      <c r="D805" s="27" t="s">
        <v>84</v>
      </c>
      <c r="E805" s="27" t="s">
        <v>91</v>
      </c>
      <c r="F805" s="27" t="s">
        <v>107</v>
      </c>
      <c r="G805" s="27" t="s">
        <v>115</v>
      </c>
      <c r="H805" s="28" t="n">
        <v>4</v>
      </c>
      <c r="I805" s="29" t="n">
        <v>6200</v>
      </c>
      <c r="J805" s="29" t="n">
        <v>24800</v>
      </c>
      <c r="K805" s="29" t="n">
        <f aca="false">H805*I805</f>
        <v>24800</v>
      </c>
      <c r="L805" s="29" t="n">
        <f aca="false">IFERROR(INDEX(Cat_Productos!$B$2:$B$6,MATCH(G805,Cat_Productos!$A$2:$A$6,0)),"")</f>
        <v>4100</v>
      </c>
      <c r="M805" s="29" t="n">
        <f aca="false">IF(L805="","",H805*L805)</f>
        <v>16400</v>
      </c>
      <c r="N805" s="29" t="n">
        <f aca="false">IF(M805="","",J805-M805)</f>
        <v>8400</v>
      </c>
      <c r="O805" s="30" t="n">
        <f aca="false">IFERROR(N805/J805,0)</f>
        <v>0.338709677419355</v>
      </c>
      <c r="P805" s="27"/>
      <c r="Q805" s="27" t="s">
        <v>159</v>
      </c>
      <c r="R805" s="27" t="s">
        <v>154</v>
      </c>
      <c r="S805" s="27" t="n">
        <v>80</v>
      </c>
      <c r="T805" s="27"/>
    </row>
    <row r="806" customFormat="false" ht="15" hidden="false" customHeight="false" outlineLevel="0" collapsed="false">
      <c r="A806" s="26" t="n">
        <v>46151</v>
      </c>
      <c r="B806" s="27" t="n">
        <v>2026</v>
      </c>
      <c r="C806" s="27" t="n">
        <v>5</v>
      </c>
      <c r="D806" s="27" t="s">
        <v>84</v>
      </c>
      <c r="E806" s="27" t="s">
        <v>91</v>
      </c>
      <c r="F806" s="27" t="s">
        <v>105</v>
      </c>
      <c r="G806" s="27" t="s">
        <v>115</v>
      </c>
      <c r="H806" s="28" t="n">
        <v>1</v>
      </c>
      <c r="I806" s="29" t="n">
        <v>6200</v>
      </c>
      <c r="J806" s="29" t="n">
        <v>6200</v>
      </c>
      <c r="K806" s="29" t="n">
        <f aca="false">H806*I806</f>
        <v>6200</v>
      </c>
      <c r="L806" s="29" t="n">
        <f aca="false">IFERROR(INDEX(Cat_Productos!$B$2:$B$6,MATCH(G806,Cat_Productos!$A$2:$A$6,0)),"")</f>
        <v>4100</v>
      </c>
      <c r="M806" s="29" t="n">
        <f aca="false">IF(L806="","",H806*L806)</f>
        <v>4100</v>
      </c>
      <c r="N806" s="29" t="n">
        <f aca="false">IF(M806="","",J806-M806)</f>
        <v>2100</v>
      </c>
      <c r="O806" s="30" t="n">
        <f aca="false">IFERROR(N806/J806,0)</f>
        <v>0.338709677419355</v>
      </c>
      <c r="P806" s="27"/>
      <c r="Q806" s="27" t="s">
        <v>159</v>
      </c>
      <c r="R806" s="27" t="s">
        <v>154</v>
      </c>
      <c r="S806" s="27" t="n">
        <v>101</v>
      </c>
      <c r="T806" s="27"/>
    </row>
    <row r="807" customFormat="false" ht="15" hidden="false" customHeight="false" outlineLevel="0" collapsed="false">
      <c r="A807" s="26" t="n">
        <v>46152</v>
      </c>
      <c r="B807" s="27" t="n">
        <v>2026</v>
      </c>
      <c r="C807" s="27" t="n">
        <v>5</v>
      </c>
      <c r="D807" s="27" t="s">
        <v>84</v>
      </c>
      <c r="E807" s="27" t="s">
        <v>91</v>
      </c>
      <c r="F807" s="27" t="s">
        <v>108</v>
      </c>
      <c r="G807" s="27" t="s">
        <v>116</v>
      </c>
      <c r="H807" s="28" t="n">
        <v>6</v>
      </c>
      <c r="I807" s="29" t="n">
        <v>620</v>
      </c>
      <c r="J807" s="29" t="n">
        <v>3720</v>
      </c>
      <c r="K807" s="29" t="n">
        <f aca="false">H807*I807</f>
        <v>3720</v>
      </c>
      <c r="L807" s="29" t="n">
        <f aca="false">IFERROR(INDEX(Cat_Productos!$B$2:$B$6,MATCH(G807,Cat_Productos!$A$2:$A$6,0)),"")</f>
        <v>290</v>
      </c>
      <c r="M807" s="29" t="n">
        <f aca="false">IF(L807="","",H807*L807)</f>
        <v>1740</v>
      </c>
      <c r="N807" s="29" t="n">
        <f aca="false">IF(M807="","",J807-M807)</f>
        <v>1980</v>
      </c>
      <c r="O807" s="30" t="n">
        <f aca="false">IFERROR(N807/J807,0)</f>
        <v>0.532258064516129</v>
      </c>
      <c r="P807" s="27"/>
      <c r="Q807" s="27" t="s">
        <v>159</v>
      </c>
      <c r="R807" s="27" t="s">
        <v>154</v>
      </c>
      <c r="S807" s="27" t="n">
        <v>109</v>
      </c>
      <c r="T807" s="27"/>
    </row>
    <row r="808" customFormat="false" ht="15" hidden="false" customHeight="false" outlineLevel="0" collapsed="false">
      <c r="A808" s="26" t="n">
        <v>46152</v>
      </c>
      <c r="B808" s="27" t="n">
        <v>2026</v>
      </c>
      <c r="C808" s="27" t="n">
        <v>5</v>
      </c>
      <c r="D808" s="27" t="s">
        <v>84</v>
      </c>
      <c r="E808" s="27" t="s">
        <v>92</v>
      </c>
      <c r="F808" s="27" t="s">
        <v>105</v>
      </c>
      <c r="G808" s="27" t="s">
        <v>114</v>
      </c>
      <c r="H808" s="28" t="n">
        <v>4</v>
      </c>
      <c r="I808" s="29" t="n">
        <v>24500</v>
      </c>
      <c r="J808" s="29" t="n">
        <v>98000</v>
      </c>
      <c r="K808" s="29" t="n">
        <f aca="false">H808*I808</f>
        <v>98000</v>
      </c>
      <c r="L808" s="29" t="n">
        <f aca="false">IFERROR(INDEX(Cat_Productos!$B$2:$B$6,MATCH(G808,Cat_Productos!$A$2:$A$6,0)),"")</f>
        <v>19200</v>
      </c>
      <c r="M808" s="29" t="n">
        <f aca="false">IF(L808="","",H808*L808)</f>
        <v>76800</v>
      </c>
      <c r="N808" s="29" t="n">
        <f aca="false">IF(M808="","",J808-M808)</f>
        <v>21200</v>
      </c>
      <c r="O808" s="30" t="n">
        <f aca="false">IFERROR(N808/J808,0)</f>
        <v>0.216326530612245</v>
      </c>
      <c r="P808" s="27"/>
      <c r="Q808" s="27" t="s">
        <v>159</v>
      </c>
      <c r="R808" s="27" t="s">
        <v>154</v>
      </c>
      <c r="S808" s="27" t="n">
        <v>35</v>
      </c>
      <c r="T808" s="27"/>
    </row>
    <row r="809" customFormat="false" ht="15" hidden="false" customHeight="false" outlineLevel="0" collapsed="false">
      <c r="A809" s="26" t="n">
        <v>46152</v>
      </c>
      <c r="B809" s="27" t="n">
        <v>2026</v>
      </c>
      <c r="C809" s="27" t="n">
        <v>5</v>
      </c>
      <c r="D809" s="27" t="s">
        <v>84</v>
      </c>
      <c r="E809" s="27" t="s">
        <v>92</v>
      </c>
      <c r="F809" s="27" t="s">
        <v>108</v>
      </c>
      <c r="G809" s="27" t="s">
        <v>117</v>
      </c>
      <c r="H809" s="28" t="n">
        <v>4</v>
      </c>
      <c r="I809" s="29" t="n">
        <v>1450</v>
      </c>
      <c r="J809" s="29" t="n">
        <v>5800</v>
      </c>
      <c r="K809" s="29" t="n">
        <f aca="false">H809*I809</f>
        <v>5800</v>
      </c>
      <c r="L809" s="29" t="n">
        <f aca="false">IFERROR(INDEX(Cat_Productos!$B$2:$B$6,MATCH(G809,Cat_Productos!$A$2:$A$6,0)),"")</f>
        <v>780</v>
      </c>
      <c r="M809" s="29" t="n">
        <f aca="false">IF(L809="","",H809*L809)</f>
        <v>3120</v>
      </c>
      <c r="N809" s="29" t="n">
        <f aca="false">IF(M809="","",J809-M809)</f>
        <v>2680</v>
      </c>
      <c r="O809" s="30" t="n">
        <f aca="false">IFERROR(N809/J809,0)</f>
        <v>0.462068965517241</v>
      </c>
      <c r="P809" s="27"/>
      <c r="Q809" s="27" t="s">
        <v>159</v>
      </c>
      <c r="R809" s="27" t="s">
        <v>154</v>
      </c>
      <c r="S809" s="27" t="n">
        <v>19</v>
      </c>
      <c r="T809" s="27"/>
    </row>
    <row r="810" customFormat="false" ht="15" hidden="false" customHeight="false" outlineLevel="0" collapsed="false">
      <c r="A810" s="26" t="n">
        <v>46153</v>
      </c>
      <c r="B810" s="27" t="n">
        <v>2026</v>
      </c>
      <c r="C810" s="27" t="n">
        <v>5</v>
      </c>
      <c r="D810" s="27" t="s">
        <v>84</v>
      </c>
      <c r="E810" s="27" t="s">
        <v>91</v>
      </c>
      <c r="F810" s="27" t="s">
        <v>104</v>
      </c>
      <c r="G810" s="27" t="s">
        <v>114</v>
      </c>
      <c r="H810" s="28" t="n">
        <v>3</v>
      </c>
      <c r="I810" s="29" t="n">
        <v>24500</v>
      </c>
      <c r="J810" s="29" t="n">
        <v>73500</v>
      </c>
      <c r="K810" s="29" t="n">
        <f aca="false">H810*I810</f>
        <v>73500</v>
      </c>
      <c r="L810" s="29" t="n">
        <f aca="false">IFERROR(INDEX(Cat_Productos!$B$2:$B$6,MATCH(G810,Cat_Productos!$A$2:$A$6,0)),"")</f>
        <v>19200</v>
      </c>
      <c r="M810" s="29" t="n">
        <f aca="false">IF(L810="","",H810*L810)</f>
        <v>57600</v>
      </c>
      <c r="N810" s="29" t="n">
        <f aca="false">IF(M810="","",J810-M810)</f>
        <v>15900</v>
      </c>
      <c r="O810" s="30" t="n">
        <f aca="false">IFERROR(N810/J810,0)</f>
        <v>0.216326530612245</v>
      </c>
      <c r="P810" s="27"/>
      <c r="Q810" s="27" t="s">
        <v>159</v>
      </c>
      <c r="R810" s="27" t="s">
        <v>154</v>
      </c>
      <c r="S810" s="27" t="n">
        <v>73</v>
      </c>
      <c r="T810" s="27"/>
    </row>
    <row r="811" customFormat="false" ht="15" hidden="false" customHeight="false" outlineLevel="0" collapsed="false">
      <c r="A811" s="26" t="n">
        <v>46153</v>
      </c>
      <c r="B811" s="27" t="n">
        <v>2026</v>
      </c>
      <c r="C811" s="27" t="n">
        <v>5</v>
      </c>
      <c r="D811" s="27" t="s">
        <v>84</v>
      </c>
      <c r="E811" s="27" t="s">
        <v>92</v>
      </c>
      <c r="F811" s="27" t="s">
        <v>108</v>
      </c>
      <c r="G811" s="27" t="s">
        <v>114</v>
      </c>
      <c r="H811" s="28" t="n">
        <v>1</v>
      </c>
      <c r="I811" s="29" t="n">
        <v>24500</v>
      </c>
      <c r="J811" s="29" t="n">
        <v>24500</v>
      </c>
      <c r="K811" s="29" t="n">
        <f aca="false">H811*I811</f>
        <v>24500</v>
      </c>
      <c r="L811" s="29" t="n">
        <f aca="false">IFERROR(INDEX(Cat_Productos!$B$2:$B$6,MATCH(G811,Cat_Productos!$A$2:$A$6,0)),"")</f>
        <v>19200</v>
      </c>
      <c r="M811" s="29" t="n">
        <f aca="false">IF(L811="","",H811*L811)</f>
        <v>19200</v>
      </c>
      <c r="N811" s="29" t="n">
        <f aca="false">IF(M811="","",J811-M811)</f>
        <v>5300</v>
      </c>
      <c r="O811" s="30" t="n">
        <f aca="false">IFERROR(N811/J811,0)</f>
        <v>0.216326530612245</v>
      </c>
      <c r="P811" s="27"/>
      <c r="Q811" s="27" t="s">
        <v>159</v>
      </c>
      <c r="R811" s="27" t="s">
        <v>154</v>
      </c>
      <c r="S811" s="27" t="n">
        <v>31</v>
      </c>
      <c r="T811" s="27"/>
    </row>
    <row r="812" customFormat="false" ht="15" hidden="false" customHeight="false" outlineLevel="0" collapsed="false">
      <c r="A812" s="26" t="n">
        <v>46153</v>
      </c>
      <c r="B812" s="27" t="n">
        <v>2026</v>
      </c>
      <c r="C812" s="27" t="n">
        <v>5</v>
      </c>
      <c r="D812" s="27" t="s">
        <v>84</v>
      </c>
      <c r="E812" s="27" t="s">
        <v>91</v>
      </c>
      <c r="F812" s="27" t="s">
        <v>103</v>
      </c>
      <c r="G812" s="27" t="s">
        <v>117</v>
      </c>
      <c r="H812" s="28" t="n">
        <v>4</v>
      </c>
      <c r="I812" s="29" t="n">
        <v>1450</v>
      </c>
      <c r="J812" s="29" t="n">
        <v>5800</v>
      </c>
      <c r="K812" s="29" t="n">
        <f aca="false">H812*I812</f>
        <v>5800</v>
      </c>
      <c r="L812" s="29" t="n">
        <f aca="false">IFERROR(INDEX(Cat_Productos!$B$2:$B$6,MATCH(G812,Cat_Productos!$A$2:$A$6,0)),"")</f>
        <v>780</v>
      </c>
      <c r="M812" s="29" t="n">
        <f aca="false">IF(L812="","",H812*L812)</f>
        <v>3120</v>
      </c>
      <c r="N812" s="29" t="n">
        <f aca="false">IF(M812="","",J812-M812)</f>
        <v>2680</v>
      </c>
      <c r="O812" s="30" t="n">
        <f aca="false">IFERROR(N812/J812,0)</f>
        <v>0.462068965517241</v>
      </c>
      <c r="P812" s="27"/>
      <c r="Q812" s="27" t="s">
        <v>159</v>
      </c>
      <c r="R812" s="27" t="s">
        <v>154</v>
      </c>
      <c r="S812" s="27" t="n">
        <v>117</v>
      </c>
      <c r="T812" s="27"/>
    </row>
    <row r="813" customFormat="false" ht="15" hidden="false" customHeight="false" outlineLevel="0" collapsed="false">
      <c r="A813" s="26" t="n">
        <v>46154</v>
      </c>
      <c r="B813" s="27" t="n">
        <v>2026</v>
      </c>
      <c r="C813" s="27" t="n">
        <v>5</v>
      </c>
      <c r="D813" s="27" t="s">
        <v>84</v>
      </c>
      <c r="E813" s="27" t="s">
        <v>93</v>
      </c>
      <c r="F813" s="27" t="s">
        <v>107</v>
      </c>
      <c r="G813" s="27" t="s">
        <v>118</v>
      </c>
      <c r="H813" s="28" t="n">
        <v>5</v>
      </c>
      <c r="I813" s="29" t="n">
        <v>1180</v>
      </c>
      <c r="J813" s="29" t="n">
        <v>5900</v>
      </c>
      <c r="K813" s="29" t="n">
        <f aca="false">H813*I813</f>
        <v>5900</v>
      </c>
      <c r="L813" s="29" t="n">
        <f aca="false">IFERROR(INDEX(Cat_Productos!$B$2:$B$6,MATCH(G813,Cat_Productos!$A$2:$A$6,0)),"")</f>
        <v>590</v>
      </c>
      <c r="M813" s="29" t="n">
        <f aca="false">IF(L813="","",H813*L813)</f>
        <v>2950</v>
      </c>
      <c r="N813" s="29" t="n">
        <f aca="false">IF(M813="","",J813-M813)</f>
        <v>2950</v>
      </c>
      <c r="O813" s="30" t="n">
        <f aca="false">IFERROR(N813/J813,0)</f>
        <v>0.5</v>
      </c>
      <c r="P813" s="27"/>
      <c r="Q813" s="27" t="s">
        <v>159</v>
      </c>
      <c r="R813" s="27" t="s">
        <v>154</v>
      </c>
      <c r="S813" s="27" t="n">
        <v>87</v>
      </c>
      <c r="T813" s="27"/>
    </row>
    <row r="814" customFormat="false" ht="15" hidden="false" customHeight="false" outlineLevel="0" collapsed="false">
      <c r="A814" s="26" t="n">
        <v>46154</v>
      </c>
      <c r="B814" s="27" t="n">
        <v>2026</v>
      </c>
      <c r="C814" s="27" t="n">
        <v>5</v>
      </c>
      <c r="D814" s="27" t="s">
        <v>84</v>
      </c>
      <c r="E814" s="27" t="s">
        <v>93</v>
      </c>
      <c r="F814" s="27" t="s">
        <v>104</v>
      </c>
      <c r="G814" s="27" t="s">
        <v>116</v>
      </c>
      <c r="H814" s="28" t="n">
        <v>4</v>
      </c>
      <c r="I814" s="29" t="n">
        <v>620</v>
      </c>
      <c r="J814" s="29" t="n">
        <v>2480</v>
      </c>
      <c r="K814" s="29" t="n">
        <f aca="false">H814*I814</f>
        <v>2480</v>
      </c>
      <c r="L814" s="29" t="n">
        <f aca="false">IFERROR(INDEX(Cat_Productos!$B$2:$B$6,MATCH(G814,Cat_Productos!$A$2:$A$6,0)),"")</f>
        <v>290</v>
      </c>
      <c r="M814" s="29" t="n">
        <f aca="false">IF(L814="","",H814*L814)</f>
        <v>1160</v>
      </c>
      <c r="N814" s="29" t="n">
        <f aca="false">IF(M814="","",J814-M814)</f>
        <v>1320</v>
      </c>
      <c r="O814" s="30" t="n">
        <f aca="false">IFERROR(N814/J814,0)</f>
        <v>0.532258064516129</v>
      </c>
      <c r="P814" s="27"/>
      <c r="Q814" s="27" t="s">
        <v>159</v>
      </c>
      <c r="R814" s="27" t="s">
        <v>154</v>
      </c>
      <c r="S814" s="27" t="n">
        <v>59</v>
      </c>
      <c r="T814" s="27"/>
    </row>
    <row r="815" customFormat="false" ht="15" hidden="false" customHeight="false" outlineLevel="0" collapsed="false">
      <c r="A815" s="31" t="n">
        <v>46155</v>
      </c>
      <c r="B815" s="32" t="n">
        <v>2026</v>
      </c>
      <c r="C815" s="32" t="n">
        <v>5</v>
      </c>
      <c r="D815" s="32" t="s">
        <v>84</v>
      </c>
      <c r="E815" s="32" t="s">
        <v>91</v>
      </c>
      <c r="F815" s="32" t="s">
        <v>108</v>
      </c>
      <c r="G815" s="32" t="s">
        <v>117</v>
      </c>
      <c r="H815" s="33" t="n">
        <v>3</v>
      </c>
      <c r="I815" s="34" t="n">
        <v>1450</v>
      </c>
      <c r="J815" s="34" t="n">
        <v>4350</v>
      </c>
      <c r="K815" s="34" t="n">
        <f aca="false">H815*I815</f>
        <v>4350</v>
      </c>
      <c r="L815" s="34" t="n">
        <f aca="false">IFERROR(INDEX(Cat_Productos!$B$2:$B$6,MATCH(G815,Cat_Productos!$A$2:$A$6,0)),"")</f>
        <v>780</v>
      </c>
      <c r="M815" s="34" t="n">
        <f aca="false">IF(L815="","",H815*L815)</f>
        <v>2340</v>
      </c>
      <c r="N815" s="34" t="n">
        <f aca="false">IF(M815="","",J815-M815)</f>
        <v>2010</v>
      </c>
      <c r="O815" s="35" t="n">
        <f aca="false">IFERROR(N815/J815,0)</f>
        <v>0.462068965517241</v>
      </c>
      <c r="P815" s="32"/>
      <c r="Q815" s="32" t="s">
        <v>159</v>
      </c>
      <c r="R815" s="32" t="s">
        <v>154</v>
      </c>
      <c r="S815" s="32" t="n">
        <v>9</v>
      </c>
      <c r="T815" s="32" t="s">
        <v>160</v>
      </c>
    </row>
    <row r="816" customFormat="false" ht="15" hidden="false" customHeight="false" outlineLevel="0" collapsed="false">
      <c r="A816" s="26" t="n">
        <v>46155</v>
      </c>
      <c r="B816" s="27" t="n">
        <v>2026</v>
      </c>
      <c r="C816" s="27" t="n">
        <v>5</v>
      </c>
      <c r="D816" s="27" t="s">
        <v>84</v>
      </c>
      <c r="E816" s="27" t="s">
        <v>91</v>
      </c>
      <c r="F816" s="27" t="s">
        <v>104</v>
      </c>
      <c r="G816" s="27" t="s">
        <v>115</v>
      </c>
      <c r="H816" s="28" t="n">
        <v>1</v>
      </c>
      <c r="I816" s="29" t="n">
        <v>6200</v>
      </c>
      <c r="J816" s="29" t="n">
        <v>6200</v>
      </c>
      <c r="K816" s="29" t="n">
        <f aca="false">H816*I816</f>
        <v>6200</v>
      </c>
      <c r="L816" s="29" t="n">
        <f aca="false">IFERROR(INDEX(Cat_Productos!$B$2:$B$6,MATCH(G816,Cat_Productos!$A$2:$A$6,0)),"")</f>
        <v>4100</v>
      </c>
      <c r="M816" s="29" t="n">
        <f aca="false">IF(L816="","",H816*L816)</f>
        <v>4100</v>
      </c>
      <c r="N816" s="29" t="n">
        <f aca="false">IF(M816="","",J816-M816)</f>
        <v>2100</v>
      </c>
      <c r="O816" s="30" t="n">
        <f aca="false">IFERROR(N816/J816,0)</f>
        <v>0.338709677419355</v>
      </c>
      <c r="P816" s="27"/>
      <c r="Q816" s="27" t="s">
        <v>159</v>
      </c>
      <c r="R816" s="27" t="s">
        <v>154</v>
      </c>
      <c r="S816" s="27" t="n">
        <v>6</v>
      </c>
      <c r="T816" s="27"/>
    </row>
    <row r="817" customFormat="false" ht="15" hidden="false" customHeight="false" outlineLevel="0" collapsed="false">
      <c r="A817" s="26" t="n">
        <v>46155</v>
      </c>
      <c r="B817" s="27" t="n">
        <v>2026</v>
      </c>
      <c r="C817" s="27" t="n">
        <v>5</v>
      </c>
      <c r="D817" s="27" t="s">
        <v>84</v>
      </c>
      <c r="E817" s="27" t="s">
        <v>93</v>
      </c>
      <c r="F817" s="27" t="s">
        <v>104</v>
      </c>
      <c r="G817" s="27" t="s">
        <v>117</v>
      </c>
      <c r="H817" s="28" t="n">
        <v>5</v>
      </c>
      <c r="I817" s="29" t="n">
        <v>1450</v>
      </c>
      <c r="J817" s="29" t="n">
        <v>7250</v>
      </c>
      <c r="K817" s="29" t="n">
        <f aca="false">H817*I817</f>
        <v>7250</v>
      </c>
      <c r="L817" s="29" t="n">
        <f aca="false">IFERROR(INDEX(Cat_Productos!$B$2:$B$6,MATCH(G817,Cat_Productos!$A$2:$A$6,0)),"")</f>
        <v>780</v>
      </c>
      <c r="M817" s="29" t="n">
        <f aca="false">IF(L817="","",H817*L817)</f>
        <v>3900</v>
      </c>
      <c r="N817" s="29" t="n">
        <f aca="false">IF(M817="","",J817-M817)</f>
        <v>3350</v>
      </c>
      <c r="O817" s="30" t="n">
        <f aca="false">IFERROR(N817/J817,0)</f>
        <v>0.462068965517241</v>
      </c>
      <c r="P817" s="27"/>
      <c r="Q817" s="27" t="s">
        <v>159</v>
      </c>
      <c r="R817" s="27" t="s">
        <v>154</v>
      </c>
      <c r="S817" s="27" t="n">
        <v>58</v>
      </c>
      <c r="T817" s="27"/>
    </row>
    <row r="818" customFormat="false" ht="15" hidden="false" customHeight="false" outlineLevel="0" collapsed="false">
      <c r="A818" s="26" t="n">
        <v>46155</v>
      </c>
      <c r="B818" s="27" t="n">
        <v>2026</v>
      </c>
      <c r="C818" s="27" t="n">
        <v>5</v>
      </c>
      <c r="D818" s="27" t="s">
        <v>84</v>
      </c>
      <c r="E818" s="27" t="s">
        <v>91</v>
      </c>
      <c r="F818" s="27" t="s">
        <v>104</v>
      </c>
      <c r="G818" s="27" t="s">
        <v>115</v>
      </c>
      <c r="H818" s="28" t="n">
        <v>3</v>
      </c>
      <c r="I818" s="29" t="n">
        <v>6200</v>
      </c>
      <c r="J818" s="29" t="n">
        <v>18600</v>
      </c>
      <c r="K818" s="29" t="n">
        <f aca="false">H818*I818</f>
        <v>18600</v>
      </c>
      <c r="L818" s="29" t="n">
        <f aca="false">IFERROR(INDEX(Cat_Productos!$B$2:$B$6,MATCH(G818,Cat_Productos!$A$2:$A$6,0)),"")</f>
        <v>4100</v>
      </c>
      <c r="M818" s="29" t="n">
        <f aca="false">IF(L818="","",H818*L818)</f>
        <v>12300</v>
      </c>
      <c r="N818" s="29" t="n">
        <f aca="false">IF(M818="","",J818-M818)</f>
        <v>6300</v>
      </c>
      <c r="O818" s="30" t="n">
        <f aca="false">IFERROR(N818/J818,0)</f>
        <v>0.338709677419355</v>
      </c>
      <c r="P818" s="27"/>
      <c r="Q818" s="27" t="s">
        <v>159</v>
      </c>
      <c r="R818" s="27" t="s">
        <v>154</v>
      </c>
      <c r="S818" s="27" t="n">
        <v>55</v>
      </c>
      <c r="T818" s="27"/>
    </row>
    <row r="819" customFormat="false" ht="15" hidden="false" customHeight="false" outlineLevel="0" collapsed="false">
      <c r="A819" s="26" t="n">
        <v>46155</v>
      </c>
      <c r="B819" s="27" t="n">
        <v>2026</v>
      </c>
      <c r="C819" s="27" t="n">
        <v>5</v>
      </c>
      <c r="D819" s="27" t="s">
        <v>84</v>
      </c>
      <c r="E819" s="27" t="s">
        <v>93</v>
      </c>
      <c r="F819" s="27" t="s">
        <v>105</v>
      </c>
      <c r="G819" s="27" t="s">
        <v>118</v>
      </c>
      <c r="H819" s="28" t="n">
        <v>1</v>
      </c>
      <c r="I819" s="29" t="n">
        <v>1180</v>
      </c>
      <c r="J819" s="29" t="n">
        <v>1180</v>
      </c>
      <c r="K819" s="29" t="n">
        <f aca="false">H819*I819</f>
        <v>1180</v>
      </c>
      <c r="L819" s="29" t="n">
        <f aca="false">IFERROR(INDEX(Cat_Productos!$B$2:$B$6,MATCH(G819,Cat_Productos!$A$2:$A$6,0)),"")</f>
        <v>590</v>
      </c>
      <c r="M819" s="29" t="n">
        <f aca="false">IF(L819="","",H819*L819)</f>
        <v>590</v>
      </c>
      <c r="N819" s="29" t="n">
        <f aca="false">IF(M819="","",J819-M819)</f>
        <v>590</v>
      </c>
      <c r="O819" s="30" t="n">
        <f aca="false">IFERROR(N819/J819,0)</f>
        <v>0.5</v>
      </c>
      <c r="P819" s="27"/>
      <c r="Q819" s="27" t="s">
        <v>159</v>
      </c>
      <c r="R819" s="27" t="s">
        <v>154</v>
      </c>
      <c r="S819" s="27" t="n">
        <v>39</v>
      </c>
      <c r="T819" s="27"/>
    </row>
    <row r="820" customFormat="false" ht="15" hidden="false" customHeight="false" outlineLevel="0" collapsed="false">
      <c r="A820" s="26" t="n">
        <v>46156</v>
      </c>
      <c r="B820" s="27" t="n">
        <v>2026</v>
      </c>
      <c r="C820" s="27" t="n">
        <v>5</v>
      </c>
      <c r="D820" s="27" t="s">
        <v>84</v>
      </c>
      <c r="E820" s="27" t="s">
        <v>93</v>
      </c>
      <c r="F820" s="27" t="s">
        <v>108</v>
      </c>
      <c r="G820" s="27" t="s">
        <v>117</v>
      </c>
      <c r="H820" s="28" t="n">
        <v>6</v>
      </c>
      <c r="I820" s="29" t="n">
        <v>1450</v>
      </c>
      <c r="J820" s="29" t="n">
        <v>8700</v>
      </c>
      <c r="K820" s="29" t="n">
        <f aca="false">H820*I820</f>
        <v>8700</v>
      </c>
      <c r="L820" s="29" t="n">
        <f aca="false">IFERROR(INDEX(Cat_Productos!$B$2:$B$6,MATCH(G820,Cat_Productos!$A$2:$A$6,0)),"")</f>
        <v>780</v>
      </c>
      <c r="M820" s="29" t="n">
        <f aca="false">IF(L820="","",H820*L820)</f>
        <v>4680</v>
      </c>
      <c r="N820" s="29" t="n">
        <f aca="false">IF(M820="","",J820-M820)</f>
        <v>4020</v>
      </c>
      <c r="O820" s="30" t="n">
        <f aca="false">IFERROR(N820/J820,0)</f>
        <v>0.462068965517241</v>
      </c>
      <c r="P820" s="27"/>
      <c r="Q820" s="27" t="s">
        <v>159</v>
      </c>
      <c r="R820" s="27" t="s">
        <v>154</v>
      </c>
      <c r="S820" s="27" t="n">
        <v>97</v>
      </c>
      <c r="T820" s="27"/>
    </row>
    <row r="821" customFormat="false" ht="15" hidden="false" customHeight="false" outlineLevel="0" collapsed="false">
      <c r="A821" s="26" t="n">
        <v>46156</v>
      </c>
      <c r="B821" s="27" t="n">
        <v>2026</v>
      </c>
      <c r="C821" s="27" t="n">
        <v>5</v>
      </c>
      <c r="D821" s="27" t="s">
        <v>84</v>
      </c>
      <c r="E821" s="27" t="s">
        <v>92</v>
      </c>
      <c r="F821" s="27" t="s">
        <v>105</v>
      </c>
      <c r="G821" s="27" t="s">
        <v>114</v>
      </c>
      <c r="H821" s="28" t="n">
        <v>4</v>
      </c>
      <c r="I821" s="29" t="n">
        <v>24500</v>
      </c>
      <c r="J821" s="29" t="n">
        <v>98000</v>
      </c>
      <c r="K821" s="29" t="n">
        <f aca="false">H821*I821</f>
        <v>98000</v>
      </c>
      <c r="L821" s="29" t="n">
        <f aca="false">IFERROR(INDEX(Cat_Productos!$B$2:$B$6,MATCH(G821,Cat_Productos!$A$2:$A$6,0)),"")</f>
        <v>19200</v>
      </c>
      <c r="M821" s="29" t="n">
        <f aca="false">IF(L821="","",H821*L821)</f>
        <v>76800</v>
      </c>
      <c r="N821" s="29" t="n">
        <f aca="false">IF(M821="","",J821-M821)</f>
        <v>21200</v>
      </c>
      <c r="O821" s="30" t="n">
        <f aca="false">IFERROR(N821/J821,0)</f>
        <v>0.216326530612245</v>
      </c>
      <c r="P821" s="27"/>
      <c r="Q821" s="27" t="s">
        <v>159</v>
      </c>
      <c r="R821" s="27" t="s">
        <v>154</v>
      </c>
      <c r="S821" s="27" t="n">
        <v>30</v>
      </c>
      <c r="T821" s="27"/>
    </row>
    <row r="822" customFormat="false" ht="15" hidden="false" customHeight="false" outlineLevel="0" collapsed="false">
      <c r="A822" s="26" t="n">
        <v>46156</v>
      </c>
      <c r="B822" s="27" t="n">
        <v>2026</v>
      </c>
      <c r="C822" s="27" t="n">
        <v>5</v>
      </c>
      <c r="D822" s="27" t="s">
        <v>84</v>
      </c>
      <c r="E822" s="27" t="s">
        <v>92</v>
      </c>
      <c r="F822" s="27" t="s">
        <v>103</v>
      </c>
      <c r="G822" s="27" t="s">
        <v>114</v>
      </c>
      <c r="H822" s="28" t="n">
        <v>5</v>
      </c>
      <c r="I822" s="29" t="n">
        <v>24500</v>
      </c>
      <c r="J822" s="29" t="n">
        <v>122500</v>
      </c>
      <c r="K822" s="29" t="n">
        <f aca="false">H822*I822</f>
        <v>122500</v>
      </c>
      <c r="L822" s="29" t="n">
        <f aca="false">IFERROR(INDEX(Cat_Productos!$B$2:$B$6,MATCH(G822,Cat_Productos!$A$2:$A$6,0)),"")</f>
        <v>19200</v>
      </c>
      <c r="M822" s="29" t="n">
        <f aca="false">IF(L822="","",H822*L822)</f>
        <v>96000</v>
      </c>
      <c r="N822" s="29" t="n">
        <f aca="false">IF(M822="","",J822-M822)</f>
        <v>26500</v>
      </c>
      <c r="O822" s="30" t="n">
        <f aca="false">IFERROR(N822/J822,0)</f>
        <v>0.216326530612245</v>
      </c>
      <c r="P822" s="27"/>
      <c r="Q822" s="27" t="s">
        <v>159</v>
      </c>
      <c r="R822" s="27" t="s">
        <v>154</v>
      </c>
      <c r="S822" s="27" t="n">
        <v>63</v>
      </c>
      <c r="T822" s="27"/>
    </row>
    <row r="823" customFormat="false" ht="15" hidden="false" customHeight="false" outlineLevel="0" collapsed="false">
      <c r="A823" s="26" t="n">
        <v>46156</v>
      </c>
      <c r="B823" s="27" t="n">
        <v>2026</v>
      </c>
      <c r="C823" s="27" t="n">
        <v>5</v>
      </c>
      <c r="D823" s="27" t="s">
        <v>84</v>
      </c>
      <c r="E823" s="27" t="s">
        <v>91</v>
      </c>
      <c r="F823" s="27" t="s">
        <v>104</v>
      </c>
      <c r="G823" s="27" t="s">
        <v>116</v>
      </c>
      <c r="H823" s="28" t="n">
        <v>1</v>
      </c>
      <c r="I823" s="29" t="n">
        <v>620</v>
      </c>
      <c r="J823" s="29" t="n">
        <v>620</v>
      </c>
      <c r="K823" s="29" t="n">
        <f aca="false">H823*I823</f>
        <v>620</v>
      </c>
      <c r="L823" s="29" t="n">
        <f aca="false">IFERROR(INDEX(Cat_Productos!$B$2:$B$6,MATCH(G823,Cat_Productos!$A$2:$A$6,0)),"")</f>
        <v>290</v>
      </c>
      <c r="M823" s="29" t="n">
        <f aca="false">IF(L823="","",H823*L823)</f>
        <v>290</v>
      </c>
      <c r="N823" s="29" t="n">
        <f aca="false">IF(M823="","",J823-M823)</f>
        <v>330</v>
      </c>
      <c r="O823" s="30" t="n">
        <f aca="false">IFERROR(N823/J823,0)</f>
        <v>0.532258064516129</v>
      </c>
      <c r="P823" s="27"/>
      <c r="Q823" s="27" t="s">
        <v>159</v>
      </c>
      <c r="R823" s="27" t="s">
        <v>154</v>
      </c>
      <c r="S823" s="27" t="n">
        <v>119</v>
      </c>
      <c r="T823" s="27"/>
    </row>
    <row r="824" customFormat="false" ht="15" hidden="false" customHeight="false" outlineLevel="0" collapsed="false">
      <c r="A824" s="26" t="n">
        <v>46157</v>
      </c>
      <c r="B824" s="27" t="n">
        <v>2026</v>
      </c>
      <c r="C824" s="27" t="n">
        <v>5</v>
      </c>
      <c r="D824" s="27" t="s">
        <v>84</v>
      </c>
      <c r="E824" s="27" t="s">
        <v>93</v>
      </c>
      <c r="F824" s="27" t="s">
        <v>108</v>
      </c>
      <c r="G824" s="27" t="s">
        <v>116</v>
      </c>
      <c r="H824" s="28" t="n">
        <v>1</v>
      </c>
      <c r="I824" s="29" t="n">
        <v>620</v>
      </c>
      <c r="J824" s="29" t="n">
        <v>620</v>
      </c>
      <c r="K824" s="29" t="n">
        <f aca="false">H824*I824</f>
        <v>620</v>
      </c>
      <c r="L824" s="29" t="n">
        <f aca="false">IFERROR(INDEX(Cat_Productos!$B$2:$B$6,MATCH(G824,Cat_Productos!$A$2:$A$6,0)),"")</f>
        <v>290</v>
      </c>
      <c r="M824" s="29" t="n">
        <f aca="false">IF(L824="","",H824*L824)</f>
        <v>290</v>
      </c>
      <c r="N824" s="29" t="n">
        <f aca="false">IF(M824="","",J824-M824)</f>
        <v>330</v>
      </c>
      <c r="O824" s="30" t="n">
        <f aca="false">IFERROR(N824/J824,0)</f>
        <v>0.532258064516129</v>
      </c>
      <c r="P824" s="27"/>
      <c r="Q824" s="27" t="s">
        <v>159</v>
      </c>
      <c r="R824" s="27" t="s">
        <v>154</v>
      </c>
      <c r="S824" s="27" t="n">
        <v>113</v>
      </c>
      <c r="T824" s="27"/>
    </row>
    <row r="825" customFormat="false" ht="15" hidden="false" customHeight="false" outlineLevel="0" collapsed="false">
      <c r="A825" s="26" t="n">
        <v>46157</v>
      </c>
      <c r="B825" s="27" t="n">
        <v>2026</v>
      </c>
      <c r="C825" s="27" t="n">
        <v>5</v>
      </c>
      <c r="D825" s="27" t="s">
        <v>84</v>
      </c>
      <c r="E825" s="27" t="s">
        <v>93</v>
      </c>
      <c r="F825" s="27" t="s">
        <v>107</v>
      </c>
      <c r="G825" s="27" t="s">
        <v>115</v>
      </c>
      <c r="H825" s="28" t="n">
        <v>1</v>
      </c>
      <c r="I825" s="29" t="n">
        <v>6200</v>
      </c>
      <c r="J825" s="29" t="n">
        <v>6200</v>
      </c>
      <c r="K825" s="29" t="n">
        <f aca="false">H825*I825</f>
        <v>6200</v>
      </c>
      <c r="L825" s="29" t="n">
        <f aca="false">IFERROR(INDEX(Cat_Productos!$B$2:$B$6,MATCH(G825,Cat_Productos!$A$2:$A$6,0)),"")</f>
        <v>4100</v>
      </c>
      <c r="M825" s="29" t="n">
        <f aca="false">IF(L825="","",H825*L825)</f>
        <v>4100</v>
      </c>
      <c r="N825" s="29" t="n">
        <f aca="false">IF(M825="","",J825-M825)</f>
        <v>2100</v>
      </c>
      <c r="O825" s="30" t="n">
        <f aca="false">IFERROR(N825/J825,0)</f>
        <v>0.338709677419355</v>
      </c>
      <c r="P825" s="27"/>
      <c r="Q825" s="27" t="s">
        <v>159</v>
      </c>
      <c r="R825" s="27" t="s">
        <v>154</v>
      </c>
      <c r="S825" s="27" t="n">
        <v>112</v>
      </c>
      <c r="T825" s="27"/>
    </row>
    <row r="826" customFormat="false" ht="15" hidden="false" customHeight="false" outlineLevel="0" collapsed="false">
      <c r="A826" s="26" t="n">
        <v>46158</v>
      </c>
      <c r="B826" s="27" t="n">
        <v>2026</v>
      </c>
      <c r="C826" s="27" t="n">
        <v>5</v>
      </c>
      <c r="D826" s="27" t="s">
        <v>84</v>
      </c>
      <c r="E826" s="27" t="s">
        <v>93</v>
      </c>
      <c r="F826" s="27" t="s">
        <v>103</v>
      </c>
      <c r="G826" s="27" t="s">
        <v>118</v>
      </c>
      <c r="H826" s="28" t="n">
        <v>2</v>
      </c>
      <c r="I826" s="29" t="n">
        <v>1180</v>
      </c>
      <c r="J826" s="29" t="n">
        <v>2360</v>
      </c>
      <c r="K826" s="29" t="n">
        <f aca="false">H826*I826</f>
        <v>2360</v>
      </c>
      <c r="L826" s="29" t="n">
        <f aca="false">IFERROR(INDEX(Cat_Productos!$B$2:$B$6,MATCH(G826,Cat_Productos!$A$2:$A$6,0)),"")</f>
        <v>590</v>
      </c>
      <c r="M826" s="29" t="n">
        <f aca="false">IF(L826="","",H826*L826)</f>
        <v>1180</v>
      </c>
      <c r="N826" s="29" t="n">
        <f aca="false">IF(M826="","",J826-M826)</f>
        <v>1180</v>
      </c>
      <c r="O826" s="30" t="n">
        <f aca="false">IFERROR(N826/J826,0)</f>
        <v>0.5</v>
      </c>
      <c r="P826" s="27"/>
      <c r="Q826" s="27" t="s">
        <v>159</v>
      </c>
      <c r="R826" s="27" t="s">
        <v>154</v>
      </c>
      <c r="S826" s="27" t="n">
        <v>77</v>
      </c>
      <c r="T826" s="27"/>
    </row>
    <row r="827" customFormat="false" ht="15" hidden="false" customHeight="false" outlineLevel="0" collapsed="false">
      <c r="A827" s="26" t="n">
        <v>46158</v>
      </c>
      <c r="B827" s="27" t="n">
        <v>2026</v>
      </c>
      <c r="C827" s="27" t="n">
        <v>5</v>
      </c>
      <c r="D827" s="27" t="s">
        <v>84</v>
      </c>
      <c r="E827" s="27" t="s">
        <v>92</v>
      </c>
      <c r="F827" s="27" t="s">
        <v>104</v>
      </c>
      <c r="G827" s="27" t="s">
        <v>115</v>
      </c>
      <c r="H827" s="28" t="n">
        <v>1</v>
      </c>
      <c r="I827" s="29" t="n">
        <v>6200</v>
      </c>
      <c r="J827" s="29" t="n">
        <v>6200</v>
      </c>
      <c r="K827" s="29" t="n">
        <f aca="false">H827*I827</f>
        <v>6200</v>
      </c>
      <c r="L827" s="29" t="n">
        <f aca="false">IFERROR(INDEX(Cat_Productos!$B$2:$B$6,MATCH(G827,Cat_Productos!$A$2:$A$6,0)),"")</f>
        <v>4100</v>
      </c>
      <c r="M827" s="29" t="n">
        <f aca="false">IF(L827="","",H827*L827)</f>
        <v>4100</v>
      </c>
      <c r="N827" s="29" t="n">
        <f aca="false">IF(M827="","",J827-M827)</f>
        <v>2100</v>
      </c>
      <c r="O827" s="30" t="n">
        <f aca="false">IFERROR(N827/J827,0)</f>
        <v>0.338709677419355</v>
      </c>
      <c r="P827" s="27"/>
      <c r="Q827" s="27" t="s">
        <v>159</v>
      </c>
      <c r="R827" s="27" t="s">
        <v>154</v>
      </c>
      <c r="S827" s="27" t="n">
        <v>121</v>
      </c>
      <c r="T827" s="27"/>
    </row>
    <row r="828" customFormat="false" ht="15" hidden="false" customHeight="false" outlineLevel="0" collapsed="false">
      <c r="A828" s="26" t="n">
        <v>46158</v>
      </c>
      <c r="B828" s="27" t="n">
        <v>2026</v>
      </c>
      <c r="C828" s="27" t="n">
        <v>5</v>
      </c>
      <c r="D828" s="27" t="s">
        <v>84</v>
      </c>
      <c r="E828" s="27" t="s">
        <v>92</v>
      </c>
      <c r="F828" s="27" t="s">
        <v>103</v>
      </c>
      <c r="G828" s="27" t="s">
        <v>115</v>
      </c>
      <c r="H828" s="28" t="n">
        <v>6</v>
      </c>
      <c r="I828" s="29" t="n">
        <v>6200</v>
      </c>
      <c r="J828" s="29" t="n">
        <v>37200</v>
      </c>
      <c r="K828" s="29" t="n">
        <f aca="false">H828*I828</f>
        <v>37200</v>
      </c>
      <c r="L828" s="29" t="n">
        <f aca="false">IFERROR(INDEX(Cat_Productos!$B$2:$B$6,MATCH(G828,Cat_Productos!$A$2:$A$6,0)),"")</f>
        <v>4100</v>
      </c>
      <c r="M828" s="29" t="n">
        <f aca="false">IF(L828="","",H828*L828)</f>
        <v>24600</v>
      </c>
      <c r="N828" s="29" t="n">
        <f aca="false">IF(M828="","",J828-M828)</f>
        <v>12600</v>
      </c>
      <c r="O828" s="30" t="n">
        <f aca="false">IFERROR(N828/J828,0)</f>
        <v>0.338709677419355</v>
      </c>
      <c r="P828" s="27"/>
      <c r="Q828" s="27" t="s">
        <v>159</v>
      </c>
      <c r="R828" s="27" t="s">
        <v>154</v>
      </c>
      <c r="S828" s="27" t="n">
        <v>72</v>
      </c>
      <c r="T828" s="27"/>
    </row>
    <row r="829" customFormat="false" ht="15" hidden="false" customHeight="false" outlineLevel="0" collapsed="false">
      <c r="A829" s="26" t="n">
        <v>46158</v>
      </c>
      <c r="B829" s="27" t="n">
        <v>2026</v>
      </c>
      <c r="C829" s="27" t="n">
        <v>5</v>
      </c>
      <c r="D829" s="27" t="s">
        <v>84</v>
      </c>
      <c r="E829" s="27" t="s">
        <v>91</v>
      </c>
      <c r="F829" s="27" t="s">
        <v>107</v>
      </c>
      <c r="G829" s="27" t="s">
        <v>114</v>
      </c>
      <c r="H829" s="28" t="n">
        <v>6</v>
      </c>
      <c r="I829" s="29" t="n">
        <v>24500</v>
      </c>
      <c r="J829" s="29" t="n">
        <v>147000</v>
      </c>
      <c r="K829" s="29" t="n">
        <f aca="false">H829*I829</f>
        <v>147000</v>
      </c>
      <c r="L829" s="29" t="n">
        <f aca="false">IFERROR(INDEX(Cat_Productos!$B$2:$B$6,MATCH(G829,Cat_Productos!$A$2:$A$6,0)),"")</f>
        <v>19200</v>
      </c>
      <c r="M829" s="29" t="n">
        <f aca="false">IF(L829="","",H829*L829)</f>
        <v>115200</v>
      </c>
      <c r="N829" s="29" t="n">
        <f aca="false">IF(M829="","",J829-M829)</f>
        <v>31800</v>
      </c>
      <c r="O829" s="30" t="n">
        <f aca="false">IFERROR(N829/J829,0)</f>
        <v>0.216326530612245</v>
      </c>
      <c r="P829" s="27"/>
      <c r="Q829" s="27" t="s">
        <v>159</v>
      </c>
      <c r="R829" s="27" t="s">
        <v>154</v>
      </c>
      <c r="S829" s="27" t="n">
        <v>123</v>
      </c>
      <c r="T829" s="27"/>
    </row>
    <row r="830" customFormat="false" ht="15" hidden="false" customHeight="false" outlineLevel="0" collapsed="false">
      <c r="A830" s="26" t="n">
        <v>46158</v>
      </c>
      <c r="B830" s="27" t="n">
        <v>2026</v>
      </c>
      <c r="C830" s="27" t="n">
        <v>5</v>
      </c>
      <c r="D830" s="27" t="s">
        <v>84</v>
      </c>
      <c r="E830" s="27" t="s">
        <v>93</v>
      </c>
      <c r="F830" s="27" t="s">
        <v>103</v>
      </c>
      <c r="G830" s="27" t="s">
        <v>118</v>
      </c>
      <c r="H830" s="28" t="n">
        <v>4</v>
      </c>
      <c r="I830" s="29" t="n">
        <v>1180</v>
      </c>
      <c r="J830" s="29" t="n">
        <v>4720</v>
      </c>
      <c r="K830" s="29" t="n">
        <f aca="false">H830*I830</f>
        <v>4720</v>
      </c>
      <c r="L830" s="29" t="n">
        <f aca="false">IFERROR(INDEX(Cat_Productos!$B$2:$B$6,MATCH(G830,Cat_Productos!$A$2:$A$6,0)),"")</f>
        <v>590</v>
      </c>
      <c r="M830" s="29" t="n">
        <f aca="false">IF(L830="","",H830*L830)</f>
        <v>2360</v>
      </c>
      <c r="N830" s="29" t="n">
        <f aca="false">IF(M830="","",J830-M830)</f>
        <v>2360</v>
      </c>
      <c r="O830" s="30" t="n">
        <f aca="false">IFERROR(N830/J830,0)</f>
        <v>0.5</v>
      </c>
      <c r="P830" s="27"/>
      <c r="Q830" s="27" t="s">
        <v>159</v>
      </c>
      <c r="R830" s="27" t="s">
        <v>154</v>
      </c>
      <c r="S830" s="27" t="n">
        <v>68</v>
      </c>
      <c r="T830" s="27"/>
    </row>
    <row r="831" customFormat="false" ht="15" hidden="false" customHeight="false" outlineLevel="0" collapsed="false">
      <c r="A831" s="26" t="n">
        <v>46158</v>
      </c>
      <c r="B831" s="27" t="n">
        <v>2026</v>
      </c>
      <c r="C831" s="27" t="n">
        <v>5</v>
      </c>
      <c r="D831" s="27" t="s">
        <v>84</v>
      </c>
      <c r="E831" s="27" t="s">
        <v>91</v>
      </c>
      <c r="F831" s="27" t="s">
        <v>105</v>
      </c>
      <c r="G831" s="27" t="s">
        <v>115</v>
      </c>
      <c r="H831" s="28" t="n">
        <v>5</v>
      </c>
      <c r="I831" s="29" t="n">
        <v>6200</v>
      </c>
      <c r="J831" s="29" t="n">
        <v>31000</v>
      </c>
      <c r="K831" s="29" t="n">
        <f aca="false">H831*I831</f>
        <v>31000</v>
      </c>
      <c r="L831" s="29" t="n">
        <f aca="false">IFERROR(INDEX(Cat_Productos!$B$2:$B$6,MATCH(G831,Cat_Productos!$A$2:$A$6,0)),"")</f>
        <v>4100</v>
      </c>
      <c r="M831" s="29" t="n">
        <f aca="false">IF(L831="","",H831*L831)</f>
        <v>20500</v>
      </c>
      <c r="N831" s="29" t="n">
        <f aca="false">IF(M831="","",J831-M831)</f>
        <v>10500</v>
      </c>
      <c r="O831" s="30" t="n">
        <f aca="false">IFERROR(N831/J831,0)</f>
        <v>0.338709677419355</v>
      </c>
      <c r="P831" s="27"/>
      <c r="Q831" s="27" t="s">
        <v>159</v>
      </c>
      <c r="R831" s="27" t="s">
        <v>154</v>
      </c>
      <c r="S831" s="27" t="n">
        <v>67</v>
      </c>
      <c r="T831" s="27"/>
    </row>
    <row r="832" customFormat="false" ht="15" hidden="false" customHeight="false" outlineLevel="0" collapsed="false">
      <c r="A832" s="26" t="n">
        <v>46159</v>
      </c>
      <c r="B832" s="27" t="n">
        <v>2026</v>
      </c>
      <c r="C832" s="27" t="n">
        <v>5</v>
      </c>
      <c r="D832" s="27" t="s">
        <v>84</v>
      </c>
      <c r="E832" s="27" t="s">
        <v>91</v>
      </c>
      <c r="F832" s="27" t="s">
        <v>105</v>
      </c>
      <c r="G832" s="27" t="s">
        <v>116</v>
      </c>
      <c r="H832" s="28" t="n">
        <v>5</v>
      </c>
      <c r="I832" s="29" t="n">
        <v>620</v>
      </c>
      <c r="J832" s="29" t="n">
        <v>3100</v>
      </c>
      <c r="K832" s="29" t="n">
        <f aca="false">H832*I832</f>
        <v>3100</v>
      </c>
      <c r="L832" s="29" t="n">
        <f aca="false">IFERROR(INDEX(Cat_Productos!$B$2:$B$6,MATCH(G832,Cat_Productos!$A$2:$A$6,0)),"")</f>
        <v>290</v>
      </c>
      <c r="M832" s="29" t="n">
        <f aca="false">IF(L832="","",H832*L832)</f>
        <v>1450</v>
      </c>
      <c r="N832" s="29" t="n">
        <f aca="false">IF(M832="","",J832-M832)</f>
        <v>1650</v>
      </c>
      <c r="O832" s="30" t="n">
        <f aca="false">IFERROR(N832/J832,0)</f>
        <v>0.532258064516129</v>
      </c>
      <c r="P832" s="27"/>
      <c r="Q832" s="27" t="s">
        <v>159</v>
      </c>
      <c r="R832" s="27" t="s">
        <v>154</v>
      </c>
      <c r="S832" s="27" t="n">
        <v>24</v>
      </c>
      <c r="T832" s="27"/>
    </row>
    <row r="833" customFormat="false" ht="15" hidden="false" customHeight="false" outlineLevel="0" collapsed="false">
      <c r="A833" s="26" t="n">
        <v>46159</v>
      </c>
      <c r="B833" s="27" t="n">
        <v>2026</v>
      </c>
      <c r="C833" s="27" t="n">
        <v>5</v>
      </c>
      <c r="D833" s="27" t="s">
        <v>84</v>
      </c>
      <c r="E833" s="27" t="s">
        <v>91</v>
      </c>
      <c r="F833" s="27" t="s">
        <v>108</v>
      </c>
      <c r="G833" s="27" t="s">
        <v>118</v>
      </c>
      <c r="H833" s="28" t="n">
        <v>6</v>
      </c>
      <c r="I833" s="29" t="n">
        <v>1180</v>
      </c>
      <c r="J833" s="29" t="n">
        <v>7080</v>
      </c>
      <c r="K833" s="29" t="n">
        <f aca="false">H833*I833</f>
        <v>7080</v>
      </c>
      <c r="L833" s="29" t="n">
        <f aca="false">IFERROR(INDEX(Cat_Productos!$B$2:$B$6,MATCH(G833,Cat_Productos!$A$2:$A$6,0)),"")</f>
        <v>590</v>
      </c>
      <c r="M833" s="29" t="n">
        <f aca="false">IF(L833="","",H833*L833)</f>
        <v>3540</v>
      </c>
      <c r="N833" s="29" t="n">
        <f aca="false">IF(M833="","",J833-M833)</f>
        <v>3540</v>
      </c>
      <c r="O833" s="30" t="n">
        <f aca="false">IFERROR(N833/J833,0)</f>
        <v>0.5</v>
      </c>
      <c r="P833" s="27"/>
      <c r="Q833" s="27" t="s">
        <v>159</v>
      </c>
      <c r="R833" s="27" t="s">
        <v>154</v>
      </c>
      <c r="S833" s="27" t="n">
        <v>115</v>
      </c>
      <c r="T833" s="27"/>
    </row>
    <row r="834" customFormat="false" ht="15" hidden="false" customHeight="false" outlineLevel="0" collapsed="false">
      <c r="A834" s="26" t="n">
        <v>46160</v>
      </c>
      <c r="B834" s="27" t="n">
        <v>2026</v>
      </c>
      <c r="C834" s="27" t="n">
        <v>5</v>
      </c>
      <c r="D834" s="27" t="s">
        <v>84</v>
      </c>
      <c r="E834" s="27" t="s">
        <v>93</v>
      </c>
      <c r="F834" s="27" t="s">
        <v>104</v>
      </c>
      <c r="G834" s="27" t="s">
        <v>117</v>
      </c>
      <c r="H834" s="28" t="n">
        <v>1</v>
      </c>
      <c r="I834" s="29" t="n">
        <v>1450</v>
      </c>
      <c r="J834" s="29" t="n">
        <v>1450</v>
      </c>
      <c r="K834" s="29" t="n">
        <f aca="false">H834*I834</f>
        <v>1450</v>
      </c>
      <c r="L834" s="29" t="n">
        <f aca="false">IFERROR(INDEX(Cat_Productos!$B$2:$B$6,MATCH(G834,Cat_Productos!$A$2:$A$6,0)),"")</f>
        <v>780</v>
      </c>
      <c r="M834" s="29" t="n">
        <f aca="false">IF(L834="","",H834*L834)</f>
        <v>780</v>
      </c>
      <c r="N834" s="29" t="n">
        <f aca="false">IF(M834="","",J834-M834)</f>
        <v>670</v>
      </c>
      <c r="O834" s="30" t="n">
        <f aca="false">IFERROR(N834/J834,0)</f>
        <v>0.462068965517241</v>
      </c>
      <c r="P834" s="27"/>
      <c r="Q834" s="27" t="s">
        <v>159</v>
      </c>
      <c r="R834" s="27" t="s">
        <v>154</v>
      </c>
      <c r="S834" s="27" t="n">
        <v>7</v>
      </c>
      <c r="T834" s="27"/>
    </row>
    <row r="835" customFormat="false" ht="15" hidden="false" customHeight="false" outlineLevel="0" collapsed="false">
      <c r="A835" s="26" t="n">
        <v>46160</v>
      </c>
      <c r="B835" s="27" t="n">
        <v>2026</v>
      </c>
      <c r="C835" s="27" t="n">
        <v>5</v>
      </c>
      <c r="D835" s="27" t="s">
        <v>84</v>
      </c>
      <c r="E835" s="27" t="s">
        <v>93</v>
      </c>
      <c r="F835" s="27" t="s">
        <v>108</v>
      </c>
      <c r="G835" s="27" t="s">
        <v>117</v>
      </c>
      <c r="H835" s="28" t="n">
        <v>2</v>
      </c>
      <c r="I835" s="29" t="n">
        <v>1450</v>
      </c>
      <c r="J835" s="29" t="n">
        <v>2900</v>
      </c>
      <c r="K835" s="29" t="n">
        <f aca="false">H835*I835</f>
        <v>2900</v>
      </c>
      <c r="L835" s="29" t="n">
        <f aca="false">IFERROR(INDEX(Cat_Productos!$B$2:$B$6,MATCH(G835,Cat_Productos!$A$2:$A$6,0)),"")</f>
        <v>780</v>
      </c>
      <c r="M835" s="29" t="n">
        <f aca="false">IF(L835="","",H835*L835)</f>
        <v>1560</v>
      </c>
      <c r="N835" s="29" t="n">
        <f aca="false">IF(M835="","",J835-M835)</f>
        <v>1340</v>
      </c>
      <c r="O835" s="30" t="n">
        <f aca="false">IFERROR(N835/J835,0)</f>
        <v>0.462068965517241</v>
      </c>
      <c r="P835" s="27"/>
      <c r="Q835" s="27" t="s">
        <v>159</v>
      </c>
      <c r="R835" s="27" t="s">
        <v>154</v>
      </c>
      <c r="S835" s="27" t="n">
        <v>61</v>
      </c>
      <c r="T835" s="27"/>
    </row>
    <row r="836" customFormat="false" ht="15" hidden="false" customHeight="false" outlineLevel="0" collapsed="false">
      <c r="A836" s="26" t="n">
        <v>46160</v>
      </c>
      <c r="B836" s="27" t="n">
        <v>2026</v>
      </c>
      <c r="C836" s="27" t="n">
        <v>5</v>
      </c>
      <c r="D836" s="27" t="s">
        <v>84</v>
      </c>
      <c r="E836" s="27" t="s">
        <v>93</v>
      </c>
      <c r="F836" s="27" t="s">
        <v>105</v>
      </c>
      <c r="G836" s="27" t="s">
        <v>116</v>
      </c>
      <c r="H836" s="28" t="n">
        <v>1</v>
      </c>
      <c r="I836" s="29" t="n">
        <v>620</v>
      </c>
      <c r="J836" s="29" t="n">
        <v>620</v>
      </c>
      <c r="K836" s="29" t="n">
        <f aca="false">H836*I836</f>
        <v>620</v>
      </c>
      <c r="L836" s="29" t="n">
        <f aca="false">IFERROR(INDEX(Cat_Productos!$B$2:$B$6,MATCH(G836,Cat_Productos!$A$2:$A$6,0)),"")</f>
        <v>290</v>
      </c>
      <c r="M836" s="29" t="n">
        <f aca="false">IF(L836="","",H836*L836)</f>
        <v>290</v>
      </c>
      <c r="N836" s="29" t="n">
        <f aca="false">IF(M836="","",J836-M836)</f>
        <v>330</v>
      </c>
      <c r="O836" s="30" t="n">
        <f aca="false">IFERROR(N836/J836,0)</f>
        <v>0.532258064516129</v>
      </c>
      <c r="P836" s="27"/>
      <c r="Q836" s="27" t="s">
        <v>159</v>
      </c>
      <c r="R836" s="27" t="s">
        <v>154</v>
      </c>
      <c r="S836" s="27" t="n">
        <v>49</v>
      </c>
      <c r="T836" s="27"/>
    </row>
    <row r="837" customFormat="false" ht="15" hidden="false" customHeight="false" outlineLevel="0" collapsed="false">
      <c r="A837" s="26" t="n">
        <v>46160</v>
      </c>
      <c r="B837" s="27" t="n">
        <v>2026</v>
      </c>
      <c r="C837" s="27" t="n">
        <v>5</v>
      </c>
      <c r="D837" s="27" t="s">
        <v>84</v>
      </c>
      <c r="E837" s="27" t="s">
        <v>92</v>
      </c>
      <c r="F837" s="27" t="s">
        <v>107</v>
      </c>
      <c r="G837" s="27" t="s">
        <v>118</v>
      </c>
      <c r="H837" s="28" t="n">
        <v>2</v>
      </c>
      <c r="I837" s="29" t="n">
        <v>1180</v>
      </c>
      <c r="J837" s="29" t="n">
        <v>2360</v>
      </c>
      <c r="K837" s="29" t="n">
        <f aca="false">H837*I837</f>
        <v>2360</v>
      </c>
      <c r="L837" s="29" t="n">
        <f aca="false">IFERROR(INDEX(Cat_Productos!$B$2:$B$6,MATCH(G837,Cat_Productos!$A$2:$A$6,0)),"")</f>
        <v>590</v>
      </c>
      <c r="M837" s="29" t="n">
        <f aca="false">IF(L837="","",H837*L837)</f>
        <v>1180</v>
      </c>
      <c r="N837" s="29" t="n">
        <f aca="false">IF(M837="","",J837-M837)</f>
        <v>1180</v>
      </c>
      <c r="O837" s="30" t="n">
        <f aca="false">IFERROR(N837/J837,0)</f>
        <v>0.5</v>
      </c>
      <c r="P837" s="27"/>
      <c r="Q837" s="27" t="s">
        <v>159</v>
      </c>
      <c r="R837" s="27" t="s">
        <v>154</v>
      </c>
      <c r="S837" s="27" t="n">
        <v>50</v>
      </c>
      <c r="T837" s="27"/>
    </row>
    <row r="838" customFormat="false" ht="15" hidden="false" customHeight="false" outlineLevel="0" collapsed="false">
      <c r="A838" s="26" t="n">
        <v>46160</v>
      </c>
      <c r="B838" s="27" t="n">
        <v>2026</v>
      </c>
      <c r="C838" s="27" t="n">
        <v>5</v>
      </c>
      <c r="D838" s="27" t="s">
        <v>84</v>
      </c>
      <c r="E838" s="27" t="s">
        <v>91</v>
      </c>
      <c r="F838" s="27" t="s">
        <v>108</v>
      </c>
      <c r="G838" s="27" t="s">
        <v>115</v>
      </c>
      <c r="H838" s="28" t="n">
        <v>1</v>
      </c>
      <c r="I838" s="29" t="n">
        <v>6200</v>
      </c>
      <c r="J838" s="29" t="n">
        <v>6200</v>
      </c>
      <c r="K838" s="29" t="n">
        <f aca="false">H838*I838</f>
        <v>6200</v>
      </c>
      <c r="L838" s="29" t="n">
        <f aca="false">IFERROR(INDEX(Cat_Productos!$B$2:$B$6,MATCH(G838,Cat_Productos!$A$2:$A$6,0)),"")</f>
        <v>4100</v>
      </c>
      <c r="M838" s="29" t="n">
        <f aca="false">IF(L838="","",H838*L838)</f>
        <v>4100</v>
      </c>
      <c r="N838" s="29" t="n">
        <f aca="false">IF(M838="","",J838-M838)</f>
        <v>2100</v>
      </c>
      <c r="O838" s="30" t="n">
        <f aca="false">IFERROR(N838/J838,0)</f>
        <v>0.338709677419355</v>
      </c>
      <c r="P838" s="27"/>
      <c r="Q838" s="27" t="s">
        <v>159</v>
      </c>
      <c r="R838" s="27" t="s">
        <v>154</v>
      </c>
      <c r="S838" s="27" t="n">
        <v>122</v>
      </c>
      <c r="T838" s="27"/>
    </row>
    <row r="839" customFormat="false" ht="15" hidden="false" customHeight="false" outlineLevel="0" collapsed="false">
      <c r="A839" s="26" t="n">
        <v>46161</v>
      </c>
      <c r="B839" s="27" t="n">
        <v>2026</v>
      </c>
      <c r="C839" s="27" t="n">
        <v>5</v>
      </c>
      <c r="D839" s="27" t="s">
        <v>84</v>
      </c>
      <c r="E839" s="27" t="s">
        <v>92</v>
      </c>
      <c r="F839" s="27" t="s">
        <v>105</v>
      </c>
      <c r="G839" s="27" t="s">
        <v>118</v>
      </c>
      <c r="H839" s="28" t="n">
        <v>4</v>
      </c>
      <c r="I839" s="29" t="n">
        <v>1180</v>
      </c>
      <c r="J839" s="29" t="n">
        <v>4720</v>
      </c>
      <c r="K839" s="29" t="n">
        <f aca="false">H839*I839</f>
        <v>4720</v>
      </c>
      <c r="L839" s="29" t="n">
        <f aca="false">IFERROR(INDEX(Cat_Productos!$B$2:$B$6,MATCH(G839,Cat_Productos!$A$2:$A$6,0)),"")</f>
        <v>590</v>
      </c>
      <c r="M839" s="29" t="n">
        <f aca="false">IF(L839="","",H839*L839)</f>
        <v>2360</v>
      </c>
      <c r="N839" s="29" t="n">
        <f aca="false">IF(M839="","",J839-M839)</f>
        <v>2360</v>
      </c>
      <c r="O839" s="30" t="n">
        <f aca="false">IFERROR(N839/J839,0)</f>
        <v>0.5</v>
      </c>
      <c r="P839" s="27"/>
      <c r="Q839" s="27" t="s">
        <v>159</v>
      </c>
      <c r="R839" s="27" t="s">
        <v>154</v>
      </c>
      <c r="S839" s="27" t="n">
        <v>15</v>
      </c>
      <c r="T839" s="27"/>
    </row>
    <row r="840" customFormat="false" ht="15" hidden="false" customHeight="false" outlineLevel="0" collapsed="false">
      <c r="A840" s="26" t="n">
        <v>46161</v>
      </c>
      <c r="B840" s="27" t="n">
        <v>2026</v>
      </c>
      <c r="C840" s="27" t="n">
        <v>5</v>
      </c>
      <c r="D840" s="27" t="s">
        <v>84</v>
      </c>
      <c r="E840" s="27" t="s">
        <v>92</v>
      </c>
      <c r="F840" s="27" t="s">
        <v>106</v>
      </c>
      <c r="G840" s="27" t="s">
        <v>116</v>
      </c>
      <c r="H840" s="28" t="n">
        <v>3</v>
      </c>
      <c r="I840" s="29" t="n">
        <v>620</v>
      </c>
      <c r="J840" s="29" t="n">
        <v>1860</v>
      </c>
      <c r="K840" s="29" t="n">
        <f aca="false">H840*I840</f>
        <v>1860</v>
      </c>
      <c r="L840" s="29" t="n">
        <f aca="false">IFERROR(INDEX(Cat_Productos!$B$2:$B$6,MATCH(G840,Cat_Productos!$A$2:$A$6,0)),"")</f>
        <v>290</v>
      </c>
      <c r="M840" s="29" t="n">
        <f aca="false">IF(L840="","",H840*L840)</f>
        <v>870</v>
      </c>
      <c r="N840" s="29" t="n">
        <f aca="false">IF(M840="","",J840-M840)</f>
        <v>990</v>
      </c>
      <c r="O840" s="30" t="n">
        <f aca="false">IFERROR(N840/J840,0)</f>
        <v>0.532258064516129</v>
      </c>
      <c r="P840" s="27"/>
      <c r="Q840" s="27" t="s">
        <v>159</v>
      </c>
      <c r="R840" s="27" t="s">
        <v>154</v>
      </c>
      <c r="S840" s="27" t="n">
        <v>90</v>
      </c>
      <c r="T840" s="27"/>
    </row>
    <row r="841" customFormat="false" ht="15" hidden="false" customHeight="false" outlineLevel="0" collapsed="false">
      <c r="A841" s="26" t="n">
        <v>46161</v>
      </c>
      <c r="B841" s="27" t="n">
        <v>2026</v>
      </c>
      <c r="C841" s="27" t="n">
        <v>5</v>
      </c>
      <c r="D841" s="27" t="s">
        <v>84</v>
      </c>
      <c r="E841" s="27" t="s">
        <v>91</v>
      </c>
      <c r="F841" s="27" t="s">
        <v>105</v>
      </c>
      <c r="G841" s="27" t="s">
        <v>117</v>
      </c>
      <c r="H841" s="28" t="n">
        <v>5</v>
      </c>
      <c r="I841" s="29" t="n">
        <v>1450</v>
      </c>
      <c r="J841" s="29" t="n">
        <v>7250</v>
      </c>
      <c r="K841" s="29" t="n">
        <f aca="false">H841*I841</f>
        <v>7250</v>
      </c>
      <c r="L841" s="29" t="n">
        <f aca="false">IFERROR(INDEX(Cat_Productos!$B$2:$B$6,MATCH(G841,Cat_Productos!$A$2:$A$6,0)),"")</f>
        <v>780</v>
      </c>
      <c r="M841" s="29" t="n">
        <f aca="false">IF(L841="","",H841*L841)</f>
        <v>3900</v>
      </c>
      <c r="N841" s="29" t="n">
        <f aca="false">IF(M841="","",J841-M841)</f>
        <v>3350</v>
      </c>
      <c r="O841" s="30" t="n">
        <f aca="false">IFERROR(N841/J841,0)</f>
        <v>0.462068965517241</v>
      </c>
      <c r="P841" s="27"/>
      <c r="Q841" s="27" t="s">
        <v>159</v>
      </c>
      <c r="R841" s="27" t="s">
        <v>154</v>
      </c>
      <c r="S841" s="27" t="n">
        <v>92</v>
      </c>
      <c r="T841" s="27"/>
    </row>
    <row r="842" customFormat="false" ht="15" hidden="false" customHeight="false" outlineLevel="0" collapsed="false">
      <c r="A842" s="26" t="n">
        <v>46161</v>
      </c>
      <c r="B842" s="27" t="n">
        <v>2026</v>
      </c>
      <c r="C842" s="27" t="n">
        <v>5</v>
      </c>
      <c r="D842" s="27" t="s">
        <v>84</v>
      </c>
      <c r="E842" s="27" t="s">
        <v>91</v>
      </c>
      <c r="F842" s="27" t="s">
        <v>103</v>
      </c>
      <c r="G842" s="27" t="s">
        <v>118</v>
      </c>
      <c r="H842" s="28" t="n">
        <v>5</v>
      </c>
      <c r="I842" s="29" t="n">
        <v>1180</v>
      </c>
      <c r="J842" s="29" t="n">
        <v>5900</v>
      </c>
      <c r="K842" s="29" t="n">
        <f aca="false">H842*I842</f>
        <v>5900</v>
      </c>
      <c r="L842" s="29" t="n">
        <f aca="false">IFERROR(INDEX(Cat_Productos!$B$2:$B$6,MATCH(G842,Cat_Productos!$A$2:$A$6,0)),"")</f>
        <v>590</v>
      </c>
      <c r="M842" s="29" t="n">
        <f aca="false">IF(L842="","",H842*L842)</f>
        <v>2950</v>
      </c>
      <c r="N842" s="29" t="n">
        <f aca="false">IF(M842="","",J842-M842)</f>
        <v>2950</v>
      </c>
      <c r="O842" s="30" t="n">
        <f aca="false">IFERROR(N842/J842,0)</f>
        <v>0.5</v>
      </c>
      <c r="P842" s="27"/>
      <c r="Q842" s="27" t="s">
        <v>159</v>
      </c>
      <c r="R842" s="27" t="s">
        <v>154</v>
      </c>
      <c r="S842" s="27" t="n">
        <v>79</v>
      </c>
      <c r="T842" s="27"/>
    </row>
    <row r="843" customFormat="false" ht="15" hidden="false" customHeight="false" outlineLevel="0" collapsed="false">
      <c r="A843" s="26" t="n">
        <v>46161</v>
      </c>
      <c r="B843" s="27" t="n">
        <v>2026</v>
      </c>
      <c r="C843" s="27" t="n">
        <v>5</v>
      </c>
      <c r="D843" s="27" t="s">
        <v>84</v>
      </c>
      <c r="E843" s="27" t="s">
        <v>92</v>
      </c>
      <c r="F843" s="27" t="s">
        <v>108</v>
      </c>
      <c r="G843" s="27" t="s">
        <v>114</v>
      </c>
      <c r="H843" s="28" t="n">
        <v>6</v>
      </c>
      <c r="I843" s="29" t="n">
        <v>24500</v>
      </c>
      <c r="J843" s="29" t="n">
        <v>147000</v>
      </c>
      <c r="K843" s="29" t="n">
        <f aca="false">H843*I843</f>
        <v>147000</v>
      </c>
      <c r="L843" s="29" t="n">
        <f aca="false">IFERROR(INDEX(Cat_Productos!$B$2:$B$6,MATCH(G843,Cat_Productos!$A$2:$A$6,0)),"")</f>
        <v>19200</v>
      </c>
      <c r="M843" s="29" t="n">
        <f aca="false">IF(L843="","",H843*L843)</f>
        <v>115200</v>
      </c>
      <c r="N843" s="29" t="n">
        <f aca="false">IF(M843="","",J843-M843)</f>
        <v>31800</v>
      </c>
      <c r="O843" s="30" t="n">
        <f aca="false">IFERROR(N843/J843,0)</f>
        <v>0.216326530612245</v>
      </c>
      <c r="P843" s="27"/>
      <c r="Q843" s="27" t="s">
        <v>159</v>
      </c>
      <c r="R843" s="27" t="s">
        <v>154</v>
      </c>
      <c r="S843" s="27" t="n">
        <v>110</v>
      </c>
      <c r="T843" s="27"/>
    </row>
    <row r="844" customFormat="false" ht="15" hidden="false" customHeight="false" outlineLevel="0" collapsed="false">
      <c r="A844" s="26" t="n">
        <v>46161</v>
      </c>
      <c r="B844" s="27" t="n">
        <v>2026</v>
      </c>
      <c r="C844" s="27" t="n">
        <v>5</v>
      </c>
      <c r="D844" s="27" t="s">
        <v>84</v>
      </c>
      <c r="E844" s="27" t="s">
        <v>92</v>
      </c>
      <c r="F844" s="27" t="s">
        <v>103</v>
      </c>
      <c r="G844" s="27" t="s">
        <v>114</v>
      </c>
      <c r="H844" s="28" t="n">
        <v>1</v>
      </c>
      <c r="I844" s="29" t="n">
        <v>24500</v>
      </c>
      <c r="J844" s="29" t="n">
        <v>24500</v>
      </c>
      <c r="K844" s="29" t="n">
        <f aca="false">H844*I844</f>
        <v>24500</v>
      </c>
      <c r="L844" s="29" t="n">
        <f aca="false">IFERROR(INDEX(Cat_Productos!$B$2:$B$6,MATCH(G844,Cat_Productos!$A$2:$A$6,0)),"")</f>
        <v>19200</v>
      </c>
      <c r="M844" s="29" t="n">
        <f aca="false">IF(L844="","",H844*L844)</f>
        <v>19200</v>
      </c>
      <c r="N844" s="29" t="n">
        <f aca="false">IF(M844="","",J844-M844)</f>
        <v>5300</v>
      </c>
      <c r="O844" s="30" t="n">
        <f aca="false">IFERROR(N844/J844,0)</f>
        <v>0.216326530612245</v>
      </c>
      <c r="P844" s="27"/>
      <c r="Q844" s="27" t="s">
        <v>159</v>
      </c>
      <c r="R844" s="27" t="s">
        <v>154</v>
      </c>
      <c r="S844" s="27" t="n">
        <v>42</v>
      </c>
      <c r="T844" s="27"/>
    </row>
    <row r="845" customFormat="false" ht="15" hidden="false" customHeight="false" outlineLevel="0" collapsed="false">
      <c r="A845" s="26" t="n">
        <v>46161</v>
      </c>
      <c r="B845" s="27" t="n">
        <v>2026</v>
      </c>
      <c r="C845" s="27" t="n">
        <v>5</v>
      </c>
      <c r="D845" s="27" t="s">
        <v>84</v>
      </c>
      <c r="E845" s="27" t="s">
        <v>92</v>
      </c>
      <c r="F845" s="27" t="s">
        <v>106</v>
      </c>
      <c r="G845" s="27" t="s">
        <v>114</v>
      </c>
      <c r="H845" s="28" t="n">
        <v>5</v>
      </c>
      <c r="I845" s="29" t="n">
        <v>24500</v>
      </c>
      <c r="J845" s="29" t="n">
        <v>122500</v>
      </c>
      <c r="K845" s="29" t="n">
        <f aca="false">H845*I845</f>
        <v>122500</v>
      </c>
      <c r="L845" s="29" t="n">
        <f aca="false">IFERROR(INDEX(Cat_Productos!$B$2:$B$6,MATCH(G845,Cat_Productos!$A$2:$A$6,0)),"")</f>
        <v>19200</v>
      </c>
      <c r="M845" s="29" t="n">
        <f aca="false">IF(L845="","",H845*L845)</f>
        <v>96000</v>
      </c>
      <c r="N845" s="29" t="n">
        <f aca="false">IF(M845="","",J845-M845)</f>
        <v>26500</v>
      </c>
      <c r="O845" s="30" t="n">
        <f aca="false">IFERROR(N845/J845,0)</f>
        <v>0.216326530612245</v>
      </c>
      <c r="P845" s="27"/>
      <c r="Q845" s="27" t="s">
        <v>159</v>
      </c>
      <c r="R845" s="27" t="s">
        <v>154</v>
      </c>
      <c r="S845" s="27" t="n">
        <v>40</v>
      </c>
      <c r="T845" s="27"/>
    </row>
    <row r="846" customFormat="false" ht="15" hidden="false" customHeight="false" outlineLevel="0" collapsed="false">
      <c r="A846" s="26" t="n">
        <v>46161</v>
      </c>
      <c r="B846" s="27" t="n">
        <v>2026</v>
      </c>
      <c r="C846" s="27" t="n">
        <v>5</v>
      </c>
      <c r="D846" s="27" t="s">
        <v>84</v>
      </c>
      <c r="E846" s="27" t="s">
        <v>92</v>
      </c>
      <c r="F846" s="27" t="s">
        <v>103</v>
      </c>
      <c r="G846" s="27" t="s">
        <v>117</v>
      </c>
      <c r="H846" s="28" t="n">
        <v>5</v>
      </c>
      <c r="I846" s="29" t="n">
        <v>1450</v>
      </c>
      <c r="J846" s="29" t="n">
        <v>7250</v>
      </c>
      <c r="K846" s="29" t="n">
        <f aca="false">H846*I846</f>
        <v>7250</v>
      </c>
      <c r="L846" s="29" t="n">
        <f aca="false">IFERROR(INDEX(Cat_Productos!$B$2:$B$6,MATCH(G846,Cat_Productos!$A$2:$A$6,0)),"")</f>
        <v>780</v>
      </c>
      <c r="M846" s="29" t="n">
        <f aca="false">IF(L846="","",H846*L846)</f>
        <v>3900</v>
      </c>
      <c r="N846" s="29" t="n">
        <f aca="false">IF(M846="","",J846-M846)</f>
        <v>3350</v>
      </c>
      <c r="O846" s="30" t="n">
        <f aca="false">IFERROR(N846/J846,0)</f>
        <v>0.462068965517241</v>
      </c>
      <c r="P846" s="27"/>
      <c r="Q846" s="27" t="s">
        <v>159</v>
      </c>
      <c r="R846" s="27" t="s">
        <v>154</v>
      </c>
      <c r="S846" s="27" t="n">
        <v>106</v>
      </c>
      <c r="T846" s="27"/>
    </row>
    <row r="847" customFormat="false" ht="15" hidden="false" customHeight="false" outlineLevel="0" collapsed="false">
      <c r="A847" s="26" t="n">
        <v>46161</v>
      </c>
      <c r="B847" s="27" t="n">
        <v>2026</v>
      </c>
      <c r="C847" s="27" t="n">
        <v>5</v>
      </c>
      <c r="D847" s="27" t="s">
        <v>84</v>
      </c>
      <c r="E847" s="27" t="s">
        <v>92</v>
      </c>
      <c r="F847" s="27" t="s">
        <v>106</v>
      </c>
      <c r="G847" s="27" t="s">
        <v>114</v>
      </c>
      <c r="H847" s="28" t="n">
        <v>1</v>
      </c>
      <c r="I847" s="29" t="n">
        <v>24500</v>
      </c>
      <c r="J847" s="29" t="n">
        <v>24500</v>
      </c>
      <c r="K847" s="29" t="n">
        <f aca="false">H847*I847</f>
        <v>24500</v>
      </c>
      <c r="L847" s="29" t="n">
        <f aca="false">IFERROR(INDEX(Cat_Productos!$B$2:$B$6,MATCH(G847,Cat_Productos!$A$2:$A$6,0)),"")</f>
        <v>19200</v>
      </c>
      <c r="M847" s="29" t="n">
        <f aca="false">IF(L847="","",H847*L847)</f>
        <v>19200</v>
      </c>
      <c r="N847" s="29" t="n">
        <f aca="false">IF(M847="","",J847-M847)</f>
        <v>5300</v>
      </c>
      <c r="O847" s="30" t="n">
        <f aca="false">IFERROR(N847/J847,0)</f>
        <v>0.216326530612245</v>
      </c>
      <c r="P847" s="27"/>
      <c r="Q847" s="27" t="s">
        <v>159</v>
      </c>
      <c r="R847" s="27" t="s">
        <v>154</v>
      </c>
      <c r="S847" s="27" t="n">
        <v>85</v>
      </c>
      <c r="T847" s="27"/>
    </row>
    <row r="848" customFormat="false" ht="15" hidden="false" customHeight="false" outlineLevel="0" collapsed="false">
      <c r="A848" s="26" t="n">
        <v>46162</v>
      </c>
      <c r="B848" s="27" t="n">
        <v>2026</v>
      </c>
      <c r="C848" s="27" t="n">
        <v>5</v>
      </c>
      <c r="D848" s="27" t="s">
        <v>84</v>
      </c>
      <c r="E848" s="27" t="s">
        <v>93</v>
      </c>
      <c r="F848" s="27" t="s">
        <v>103</v>
      </c>
      <c r="G848" s="27" t="s">
        <v>116</v>
      </c>
      <c r="H848" s="28" t="n">
        <v>5</v>
      </c>
      <c r="I848" s="29" t="n">
        <v>620</v>
      </c>
      <c r="J848" s="29" t="n">
        <v>3100</v>
      </c>
      <c r="K848" s="29" t="n">
        <f aca="false">H848*I848</f>
        <v>3100</v>
      </c>
      <c r="L848" s="29" t="n">
        <f aca="false">IFERROR(INDEX(Cat_Productos!$B$2:$B$6,MATCH(G848,Cat_Productos!$A$2:$A$6,0)),"")</f>
        <v>290</v>
      </c>
      <c r="M848" s="29" t="n">
        <f aca="false">IF(L848="","",H848*L848)</f>
        <v>1450</v>
      </c>
      <c r="N848" s="29" t="n">
        <f aca="false">IF(M848="","",J848-M848)</f>
        <v>1650</v>
      </c>
      <c r="O848" s="30" t="n">
        <f aca="false">IFERROR(N848/J848,0)</f>
        <v>0.532258064516129</v>
      </c>
      <c r="P848" s="27"/>
      <c r="Q848" s="27" t="s">
        <v>159</v>
      </c>
      <c r="R848" s="27" t="s">
        <v>154</v>
      </c>
      <c r="S848" s="27" t="n">
        <v>62</v>
      </c>
      <c r="T848" s="27"/>
    </row>
    <row r="849" customFormat="false" ht="15" hidden="false" customHeight="false" outlineLevel="0" collapsed="false">
      <c r="A849" s="31" t="n">
        <v>46162</v>
      </c>
      <c r="B849" s="32" t="n">
        <v>2026</v>
      </c>
      <c r="C849" s="32" t="n">
        <v>5</v>
      </c>
      <c r="D849" s="32" t="s">
        <v>84</v>
      </c>
      <c r="E849" s="32" t="s">
        <v>93</v>
      </c>
      <c r="F849" s="32" t="s">
        <v>104</v>
      </c>
      <c r="G849" s="32" t="s">
        <v>115</v>
      </c>
      <c r="H849" s="33" t="n">
        <v>6</v>
      </c>
      <c r="I849" s="34" t="n">
        <v>6200</v>
      </c>
      <c r="J849" s="34" t="n">
        <v>37200</v>
      </c>
      <c r="K849" s="34" t="n">
        <f aca="false">H849*I849</f>
        <v>37200</v>
      </c>
      <c r="L849" s="34" t="n">
        <f aca="false">IFERROR(INDEX(Cat_Productos!$B$2:$B$6,MATCH(G849,Cat_Productos!$A$2:$A$6,0)),"")</f>
        <v>4100</v>
      </c>
      <c r="M849" s="34" t="n">
        <f aca="false">IF(L849="","",H849*L849)</f>
        <v>24600</v>
      </c>
      <c r="N849" s="34" t="n">
        <f aca="false">IF(M849="","",J849-M849)</f>
        <v>12600</v>
      </c>
      <c r="O849" s="35" t="n">
        <f aca="false">IFERROR(N849/J849,0)</f>
        <v>0.338709677419355</v>
      </c>
      <c r="P849" s="32"/>
      <c r="Q849" s="32" t="s">
        <v>159</v>
      </c>
      <c r="R849" s="32" t="s">
        <v>154</v>
      </c>
      <c r="S849" s="32" t="n">
        <v>44</v>
      </c>
      <c r="T849" s="32" t="s">
        <v>160</v>
      </c>
    </row>
    <row r="850" customFormat="false" ht="15" hidden="false" customHeight="false" outlineLevel="0" collapsed="false">
      <c r="A850" s="26" t="n">
        <v>46163</v>
      </c>
      <c r="B850" s="27" t="n">
        <v>2026</v>
      </c>
      <c r="C850" s="27" t="n">
        <v>5</v>
      </c>
      <c r="D850" s="27" t="s">
        <v>84</v>
      </c>
      <c r="E850" s="27" t="s">
        <v>91</v>
      </c>
      <c r="F850" s="27" t="s">
        <v>105</v>
      </c>
      <c r="G850" s="27" t="s">
        <v>116</v>
      </c>
      <c r="H850" s="28" t="n">
        <v>5</v>
      </c>
      <c r="I850" s="29" t="n">
        <v>620</v>
      </c>
      <c r="J850" s="29" t="n">
        <v>3100</v>
      </c>
      <c r="K850" s="29" t="n">
        <f aca="false">H850*I850</f>
        <v>3100</v>
      </c>
      <c r="L850" s="29" t="n">
        <f aca="false">IFERROR(INDEX(Cat_Productos!$B$2:$B$6,MATCH(G850,Cat_Productos!$A$2:$A$6,0)),"")</f>
        <v>290</v>
      </c>
      <c r="M850" s="29" t="n">
        <f aca="false">IF(L850="","",H850*L850)</f>
        <v>1450</v>
      </c>
      <c r="N850" s="29" t="n">
        <f aca="false">IF(M850="","",J850-M850)</f>
        <v>1650</v>
      </c>
      <c r="O850" s="30" t="n">
        <f aca="false">IFERROR(N850/J850,0)</f>
        <v>0.532258064516129</v>
      </c>
      <c r="P850" s="27"/>
      <c r="Q850" s="27" t="s">
        <v>159</v>
      </c>
      <c r="R850" s="27" t="s">
        <v>154</v>
      </c>
      <c r="S850" s="27" t="n">
        <v>33</v>
      </c>
      <c r="T850" s="27"/>
    </row>
    <row r="851" customFormat="false" ht="15" hidden="false" customHeight="false" outlineLevel="0" collapsed="false">
      <c r="A851" s="26" t="n">
        <v>46163</v>
      </c>
      <c r="B851" s="27" t="n">
        <v>2026</v>
      </c>
      <c r="C851" s="27" t="n">
        <v>5</v>
      </c>
      <c r="D851" s="27" t="s">
        <v>84</v>
      </c>
      <c r="E851" s="27" t="s">
        <v>92</v>
      </c>
      <c r="F851" s="27" t="s">
        <v>107</v>
      </c>
      <c r="G851" s="27" t="s">
        <v>114</v>
      </c>
      <c r="H851" s="28" t="n">
        <v>1</v>
      </c>
      <c r="I851" s="29" t="n">
        <v>24500</v>
      </c>
      <c r="J851" s="29" t="n">
        <v>24500</v>
      </c>
      <c r="K851" s="29" t="n">
        <f aca="false">H851*I851</f>
        <v>24500</v>
      </c>
      <c r="L851" s="29" t="n">
        <f aca="false">IFERROR(INDEX(Cat_Productos!$B$2:$B$6,MATCH(G851,Cat_Productos!$A$2:$A$6,0)),"")</f>
        <v>19200</v>
      </c>
      <c r="M851" s="29" t="n">
        <f aca="false">IF(L851="","",H851*L851)</f>
        <v>19200</v>
      </c>
      <c r="N851" s="29" t="n">
        <f aca="false">IF(M851="","",J851-M851)</f>
        <v>5300</v>
      </c>
      <c r="O851" s="30" t="n">
        <f aca="false">IFERROR(N851/J851,0)</f>
        <v>0.216326530612245</v>
      </c>
      <c r="P851" s="27"/>
      <c r="Q851" s="27" t="s">
        <v>159</v>
      </c>
      <c r="R851" s="27" t="s">
        <v>154</v>
      </c>
      <c r="S851" s="27" t="n">
        <v>82</v>
      </c>
      <c r="T851" s="27"/>
    </row>
    <row r="852" customFormat="false" ht="15" hidden="false" customHeight="false" outlineLevel="0" collapsed="false">
      <c r="A852" s="26" t="n">
        <v>46164</v>
      </c>
      <c r="B852" s="27" t="n">
        <v>2026</v>
      </c>
      <c r="C852" s="27" t="n">
        <v>5</v>
      </c>
      <c r="D852" s="27" t="s">
        <v>84</v>
      </c>
      <c r="E852" s="27" t="s">
        <v>93</v>
      </c>
      <c r="F852" s="27" t="s">
        <v>106</v>
      </c>
      <c r="G852" s="27" t="s">
        <v>118</v>
      </c>
      <c r="H852" s="28" t="n">
        <v>6</v>
      </c>
      <c r="I852" s="29" t="n">
        <v>1180</v>
      </c>
      <c r="J852" s="29" t="n">
        <v>7080</v>
      </c>
      <c r="K852" s="29" t="n">
        <f aca="false">H852*I852</f>
        <v>7080</v>
      </c>
      <c r="L852" s="29" t="n">
        <f aca="false">IFERROR(INDEX(Cat_Productos!$B$2:$B$6,MATCH(G852,Cat_Productos!$A$2:$A$6,0)),"")</f>
        <v>590</v>
      </c>
      <c r="M852" s="29" t="n">
        <f aca="false">IF(L852="","",H852*L852)</f>
        <v>3540</v>
      </c>
      <c r="N852" s="29" t="n">
        <f aca="false">IF(M852="","",J852-M852)</f>
        <v>3540</v>
      </c>
      <c r="O852" s="30" t="n">
        <f aca="false">IFERROR(N852/J852,0)</f>
        <v>0.5</v>
      </c>
      <c r="P852" s="27"/>
      <c r="Q852" s="27" t="s">
        <v>159</v>
      </c>
      <c r="R852" s="27" t="s">
        <v>154</v>
      </c>
      <c r="S852" s="27" t="n">
        <v>18</v>
      </c>
      <c r="T852" s="27"/>
    </row>
    <row r="853" customFormat="false" ht="15" hidden="false" customHeight="false" outlineLevel="0" collapsed="false">
      <c r="A853" s="31" t="n">
        <v>46164</v>
      </c>
      <c r="B853" s="32" t="n">
        <v>2026</v>
      </c>
      <c r="C853" s="32" t="n">
        <v>5</v>
      </c>
      <c r="D853" s="32" t="s">
        <v>84</v>
      </c>
      <c r="E853" s="32" t="s">
        <v>92</v>
      </c>
      <c r="F853" s="32" t="s">
        <v>105</v>
      </c>
      <c r="G853" s="32" t="s">
        <v>115</v>
      </c>
      <c r="H853" s="33" t="n">
        <v>6</v>
      </c>
      <c r="I853" s="34" t="n">
        <v>6200</v>
      </c>
      <c r="J853" s="34" t="n">
        <v>37200</v>
      </c>
      <c r="K853" s="34" t="n">
        <f aca="false">H853*I853</f>
        <v>37200</v>
      </c>
      <c r="L853" s="34" t="n">
        <f aca="false">IFERROR(INDEX(Cat_Productos!$B$2:$B$6,MATCH(G853,Cat_Productos!$A$2:$A$6,0)),"")</f>
        <v>4100</v>
      </c>
      <c r="M853" s="34" t="n">
        <f aca="false">IF(L853="","",H853*L853)</f>
        <v>24600</v>
      </c>
      <c r="N853" s="34" t="n">
        <f aca="false">IF(M853="","",J853-M853)</f>
        <v>12600</v>
      </c>
      <c r="O853" s="35" t="n">
        <f aca="false">IFERROR(N853/J853,0)</f>
        <v>0.338709677419355</v>
      </c>
      <c r="P853" s="32"/>
      <c r="Q853" s="32" t="s">
        <v>159</v>
      </c>
      <c r="R853" s="32" t="s">
        <v>154</v>
      </c>
      <c r="S853" s="32" t="n">
        <v>25</v>
      </c>
      <c r="T853" s="32" t="s">
        <v>160</v>
      </c>
    </row>
    <row r="854" customFormat="false" ht="15" hidden="false" customHeight="false" outlineLevel="0" collapsed="false">
      <c r="A854" s="31" t="n">
        <v>46164</v>
      </c>
      <c r="B854" s="32" t="n">
        <v>2026</v>
      </c>
      <c r="C854" s="32" t="n">
        <v>5</v>
      </c>
      <c r="D854" s="32" t="s">
        <v>84</v>
      </c>
      <c r="E854" s="32" t="s">
        <v>91</v>
      </c>
      <c r="F854" s="32" t="s">
        <v>107</v>
      </c>
      <c r="G854" s="32" t="s">
        <v>114</v>
      </c>
      <c r="H854" s="33" t="n">
        <v>5</v>
      </c>
      <c r="I854" s="34" t="n">
        <v>24500</v>
      </c>
      <c r="J854" s="34" t="n">
        <v>122500</v>
      </c>
      <c r="K854" s="34" t="n">
        <f aca="false">H854*I854</f>
        <v>122500</v>
      </c>
      <c r="L854" s="34" t="n">
        <f aca="false">IFERROR(INDEX(Cat_Productos!$B$2:$B$6,MATCH(G854,Cat_Productos!$A$2:$A$6,0)),"")</f>
        <v>19200</v>
      </c>
      <c r="M854" s="34" t="n">
        <f aca="false">IF(L854="","",H854*L854)</f>
        <v>96000</v>
      </c>
      <c r="N854" s="34" t="n">
        <f aca="false">IF(M854="","",J854-M854)</f>
        <v>26500</v>
      </c>
      <c r="O854" s="35" t="n">
        <f aca="false">IFERROR(N854/J854,0)</f>
        <v>0.216326530612245</v>
      </c>
      <c r="P854" s="32"/>
      <c r="Q854" s="32" t="s">
        <v>159</v>
      </c>
      <c r="R854" s="32" t="s">
        <v>154</v>
      </c>
      <c r="S854" s="32" t="n">
        <v>70</v>
      </c>
      <c r="T854" s="32" t="s">
        <v>160</v>
      </c>
    </row>
    <row r="855" customFormat="false" ht="15" hidden="false" customHeight="false" outlineLevel="0" collapsed="false">
      <c r="A855" s="26" t="n">
        <v>46164</v>
      </c>
      <c r="B855" s="27" t="n">
        <v>2026</v>
      </c>
      <c r="C855" s="27" t="n">
        <v>5</v>
      </c>
      <c r="D855" s="27" t="s">
        <v>84</v>
      </c>
      <c r="E855" s="27" t="s">
        <v>92</v>
      </c>
      <c r="F855" s="27" t="s">
        <v>108</v>
      </c>
      <c r="G855" s="27" t="s">
        <v>115</v>
      </c>
      <c r="H855" s="28" t="n">
        <v>3</v>
      </c>
      <c r="I855" s="29" t="n">
        <v>6200</v>
      </c>
      <c r="J855" s="29" t="n">
        <v>18600</v>
      </c>
      <c r="K855" s="29" t="n">
        <f aca="false">H855*I855</f>
        <v>18600</v>
      </c>
      <c r="L855" s="29" t="n">
        <f aca="false">IFERROR(INDEX(Cat_Productos!$B$2:$B$6,MATCH(G855,Cat_Productos!$A$2:$A$6,0)),"")</f>
        <v>4100</v>
      </c>
      <c r="M855" s="29" t="n">
        <f aca="false">IF(L855="","",H855*L855)</f>
        <v>12300</v>
      </c>
      <c r="N855" s="29" t="n">
        <f aca="false">IF(M855="","",J855-M855)</f>
        <v>6300</v>
      </c>
      <c r="O855" s="30" t="n">
        <f aca="false">IFERROR(N855/J855,0)</f>
        <v>0.338709677419355</v>
      </c>
      <c r="P855" s="27"/>
      <c r="Q855" s="27" t="s">
        <v>159</v>
      </c>
      <c r="R855" s="27" t="s">
        <v>154</v>
      </c>
      <c r="S855" s="27" t="n">
        <v>10</v>
      </c>
      <c r="T855" s="27"/>
    </row>
    <row r="856" customFormat="false" ht="15" hidden="false" customHeight="false" outlineLevel="0" collapsed="false">
      <c r="A856" s="26" t="n">
        <v>46164</v>
      </c>
      <c r="B856" s="27" t="n">
        <v>2026</v>
      </c>
      <c r="C856" s="27" t="n">
        <v>5</v>
      </c>
      <c r="D856" s="27" t="s">
        <v>84</v>
      </c>
      <c r="E856" s="27" t="s">
        <v>93</v>
      </c>
      <c r="F856" s="27" t="s">
        <v>107</v>
      </c>
      <c r="G856" s="27" t="s">
        <v>117</v>
      </c>
      <c r="H856" s="28" t="n">
        <v>5</v>
      </c>
      <c r="I856" s="29" t="n">
        <v>1450</v>
      </c>
      <c r="J856" s="29" t="n">
        <v>7250</v>
      </c>
      <c r="K856" s="29" t="n">
        <f aca="false">H856*I856</f>
        <v>7250</v>
      </c>
      <c r="L856" s="29" t="n">
        <f aca="false">IFERROR(INDEX(Cat_Productos!$B$2:$B$6,MATCH(G856,Cat_Productos!$A$2:$A$6,0)),"")</f>
        <v>780</v>
      </c>
      <c r="M856" s="29" t="n">
        <f aca="false">IF(L856="","",H856*L856)</f>
        <v>3900</v>
      </c>
      <c r="N856" s="29" t="n">
        <f aca="false">IF(M856="","",J856-M856)</f>
        <v>3350</v>
      </c>
      <c r="O856" s="30" t="n">
        <f aca="false">IFERROR(N856/J856,0)</f>
        <v>0.462068965517241</v>
      </c>
      <c r="P856" s="27"/>
      <c r="Q856" s="27" t="s">
        <v>159</v>
      </c>
      <c r="R856" s="27" t="s">
        <v>154</v>
      </c>
      <c r="S856" s="27" t="n">
        <v>56</v>
      </c>
      <c r="T856" s="27"/>
    </row>
    <row r="857" customFormat="false" ht="15" hidden="false" customHeight="false" outlineLevel="0" collapsed="false">
      <c r="A857" s="26" t="n">
        <v>46164</v>
      </c>
      <c r="B857" s="27" t="n">
        <v>2026</v>
      </c>
      <c r="C857" s="27" t="n">
        <v>5</v>
      </c>
      <c r="D857" s="27" t="s">
        <v>84</v>
      </c>
      <c r="E857" s="27" t="s">
        <v>92</v>
      </c>
      <c r="F857" s="27" t="s">
        <v>103</v>
      </c>
      <c r="G857" s="27" t="s">
        <v>114</v>
      </c>
      <c r="H857" s="28" t="n">
        <v>4</v>
      </c>
      <c r="I857" s="29" t="n">
        <v>24500</v>
      </c>
      <c r="J857" s="29" t="n">
        <v>98000</v>
      </c>
      <c r="K857" s="29" t="n">
        <f aca="false">H857*I857</f>
        <v>98000</v>
      </c>
      <c r="L857" s="29" t="n">
        <f aca="false">IFERROR(INDEX(Cat_Productos!$B$2:$B$6,MATCH(G857,Cat_Productos!$A$2:$A$6,0)),"")</f>
        <v>19200</v>
      </c>
      <c r="M857" s="29" t="n">
        <f aca="false">IF(L857="","",H857*L857)</f>
        <v>76800</v>
      </c>
      <c r="N857" s="29" t="n">
        <f aca="false">IF(M857="","",J857-M857)</f>
        <v>21200</v>
      </c>
      <c r="O857" s="30" t="n">
        <f aca="false">IFERROR(N857/J857,0)</f>
        <v>0.216326530612245</v>
      </c>
      <c r="P857" s="27"/>
      <c r="Q857" s="27" t="s">
        <v>159</v>
      </c>
      <c r="R857" s="27" t="s">
        <v>154</v>
      </c>
      <c r="S857" s="27" t="n">
        <v>78</v>
      </c>
      <c r="T857" s="27"/>
    </row>
    <row r="858" customFormat="false" ht="15" hidden="false" customHeight="false" outlineLevel="0" collapsed="false">
      <c r="A858" s="26" t="n">
        <v>46165</v>
      </c>
      <c r="B858" s="27" t="n">
        <v>2026</v>
      </c>
      <c r="C858" s="27" t="n">
        <v>5</v>
      </c>
      <c r="D858" s="27" t="s">
        <v>84</v>
      </c>
      <c r="E858" s="27" t="s">
        <v>93</v>
      </c>
      <c r="F858" s="27" t="s">
        <v>107</v>
      </c>
      <c r="G858" s="27" t="s">
        <v>116</v>
      </c>
      <c r="H858" s="28" t="n">
        <v>4</v>
      </c>
      <c r="I858" s="29" t="n">
        <v>620</v>
      </c>
      <c r="J858" s="29" t="n">
        <v>2480</v>
      </c>
      <c r="K858" s="29" t="n">
        <f aca="false">H858*I858</f>
        <v>2480</v>
      </c>
      <c r="L858" s="29" t="n">
        <f aca="false">IFERROR(INDEX(Cat_Productos!$B$2:$B$6,MATCH(G858,Cat_Productos!$A$2:$A$6,0)),"")</f>
        <v>290</v>
      </c>
      <c r="M858" s="29" t="n">
        <f aca="false">IF(L858="","",H858*L858)</f>
        <v>1160</v>
      </c>
      <c r="N858" s="29" t="n">
        <f aca="false">IF(M858="","",J858-M858)</f>
        <v>1320</v>
      </c>
      <c r="O858" s="30" t="n">
        <f aca="false">IFERROR(N858/J858,0)</f>
        <v>0.532258064516129</v>
      </c>
      <c r="P858" s="27"/>
      <c r="Q858" s="27" t="s">
        <v>159</v>
      </c>
      <c r="R858" s="27" t="s">
        <v>154</v>
      </c>
      <c r="S858" s="27" t="n">
        <v>95</v>
      </c>
      <c r="T858" s="27"/>
    </row>
    <row r="859" customFormat="false" ht="15" hidden="false" customHeight="false" outlineLevel="0" collapsed="false">
      <c r="A859" s="26" t="n">
        <v>46165</v>
      </c>
      <c r="B859" s="27" t="n">
        <v>2026</v>
      </c>
      <c r="C859" s="27" t="n">
        <v>5</v>
      </c>
      <c r="D859" s="27" t="s">
        <v>84</v>
      </c>
      <c r="E859" s="27" t="s">
        <v>91</v>
      </c>
      <c r="F859" s="27" t="s">
        <v>103</v>
      </c>
      <c r="G859" s="27" t="s">
        <v>114</v>
      </c>
      <c r="H859" s="28" t="n">
        <v>2</v>
      </c>
      <c r="I859" s="29" t="n">
        <v>24500</v>
      </c>
      <c r="J859" s="29" t="n">
        <v>49000</v>
      </c>
      <c r="K859" s="29" t="n">
        <f aca="false">H859*I859</f>
        <v>49000</v>
      </c>
      <c r="L859" s="29" t="n">
        <f aca="false">IFERROR(INDEX(Cat_Productos!$B$2:$B$6,MATCH(G859,Cat_Productos!$A$2:$A$6,0)),"")</f>
        <v>19200</v>
      </c>
      <c r="M859" s="29" t="n">
        <f aca="false">IF(L859="","",H859*L859)</f>
        <v>38400</v>
      </c>
      <c r="N859" s="29" t="n">
        <f aca="false">IF(M859="","",J859-M859)</f>
        <v>10600</v>
      </c>
      <c r="O859" s="30" t="n">
        <f aca="false">IFERROR(N859/J859,0)</f>
        <v>0.216326530612245</v>
      </c>
      <c r="P859" s="27"/>
      <c r="Q859" s="27" t="s">
        <v>159</v>
      </c>
      <c r="R859" s="27" t="s">
        <v>154</v>
      </c>
      <c r="S859" s="27" t="n">
        <v>96</v>
      </c>
      <c r="T859" s="27"/>
    </row>
    <row r="860" customFormat="false" ht="15" hidden="false" customHeight="false" outlineLevel="0" collapsed="false">
      <c r="A860" s="26" t="n">
        <v>46165</v>
      </c>
      <c r="B860" s="27" t="n">
        <v>2026</v>
      </c>
      <c r="C860" s="27" t="n">
        <v>5</v>
      </c>
      <c r="D860" s="27" t="s">
        <v>84</v>
      </c>
      <c r="E860" s="27" t="s">
        <v>93</v>
      </c>
      <c r="F860" s="27" t="s">
        <v>105</v>
      </c>
      <c r="G860" s="27" t="s">
        <v>115</v>
      </c>
      <c r="H860" s="28" t="n">
        <v>2</v>
      </c>
      <c r="I860" s="29" t="n">
        <v>6200</v>
      </c>
      <c r="J860" s="29" t="n">
        <v>12400</v>
      </c>
      <c r="K860" s="29" t="n">
        <f aca="false">H860*I860</f>
        <v>12400</v>
      </c>
      <c r="L860" s="29" t="n">
        <f aca="false">IFERROR(INDEX(Cat_Productos!$B$2:$B$6,MATCH(G860,Cat_Productos!$A$2:$A$6,0)),"")</f>
        <v>4100</v>
      </c>
      <c r="M860" s="29" t="n">
        <f aca="false">IF(L860="","",H860*L860)</f>
        <v>8200</v>
      </c>
      <c r="N860" s="29" t="n">
        <f aca="false">IF(M860="","",J860-M860)</f>
        <v>4200</v>
      </c>
      <c r="O860" s="30" t="n">
        <f aca="false">IFERROR(N860/J860,0)</f>
        <v>0.338709677419355</v>
      </c>
      <c r="P860" s="27"/>
      <c r="Q860" s="27" t="s">
        <v>159</v>
      </c>
      <c r="R860" s="27" t="s">
        <v>154</v>
      </c>
      <c r="S860" s="27" t="n">
        <v>74</v>
      </c>
      <c r="T860" s="27"/>
    </row>
    <row r="861" customFormat="false" ht="15" hidden="false" customHeight="false" outlineLevel="0" collapsed="false">
      <c r="A861" s="26" t="n">
        <v>46165</v>
      </c>
      <c r="B861" s="27" t="n">
        <v>2026</v>
      </c>
      <c r="C861" s="27" t="n">
        <v>5</v>
      </c>
      <c r="D861" s="27" t="s">
        <v>84</v>
      </c>
      <c r="E861" s="27" t="s">
        <v>93</v>
      </c>
      <c r="F861" s="27" t="s">
        <v>107</v>
      </c>
      <c r="G861" s="27" t="s">
        <v>118</v>
      </c>
      <c r="H861" s="28" t="n">
        <v>1</v>
      </c>
      <c r="I861" s="29" t="n">
        <v>1180</v>
      </c>
      <c r="J861" s="29" t="n">
        <v>1180</v>
      </c>
      <c r="K861" s="29" t="n">
        <f aca="false">H861*I861</f>
        <v>1180</v>
      </c>
      <c r="L861" s="29" t="n">
        <f aca="false">IFERROR(INDEX(Cat_Productos!$B$2:$B$6,MATCH(G861,Cat_Productos!$A$2:$A$6,0)),"")</f>
        <v>590</v>
      </c>
      <c r="M861" s="29" t="n">
        <f aca="false">IF(L861="","",H861*L861)</f>
        <v>590</v>
      </c>
      <c r="N861" s="29" t="n">
        <f aca="false">IF(M861="","",J861-M861)</f>
        <v>590</v>
      </c>
      <c r="O861" s="30" t="n">
        <f aca="false">IFERROR(N861/J861,0)</f>
        <v>0.5</v>
      </c>
      <c r="P861" s="27"/>
      <c r="Q861" s="27" t="s">
        <v>159</v>
      </c>
      <c r="R861" s="27" t="s">
        <v>154</v>
      </c>
      <c r="S861" s="27" t="n">
        <v>8</v>
      </c>
      <c r="T861" s="27"/>
    </row>
    <row r="862" customFormat="false" ht="15" hidden="false" customHeight="false" outlineLevel="0" collapsed="false">
      <c r="A862" s="26" t="n">
        <v>46165</v>
      </c>
      <c r="B862" s="27" t="n">
        <v>2026</v>
      </c>
      <c r="C862" s="27" t="n">
        <v>5</v>
      </c>
      <c r="D862" s="27" t="s">
        <v>84</v>
      </c>
      <c r="E862" s="27" t="s">
        <v>91</v>
      </c>
      <c r="F862" s="27" t="s">
        <v>105</v>
      </c>
      <c r="G862" s="27" t="s">
        <v>118</v>
      </c>
      <c r="H862" s="28" t="n">
        <v>4</v>
      </c>
      <c r="I862" s="29" t="n">
        <v>1180</v>
      </c>
      <c r="J862" s="29" t="n">
        <v>4720</v>
      </c>
      <c r="K862" s="29" t="n">
        <f aca="false">H862*I862</f>
        <v>4720</v>
      </c>
      <c r="L862" s="29" t="n">
        <f aca="false">IFERROR(INDEX(Cat_Productos!$B$2:$B$6,MATCH(G862,Cat_Productos!$A$2:$A$6,0)),"")</f>
        <v>590</v>
      </c>
      <c r="M862" s="29" t="n">
        <f aca="false">IF(L862="","",H862*L862)</f>
        <v>2360</v>
      </c>
      <c r="N862" s="29" t="n">
        <f aca="false">IF(M862="","",J862-M862)</f>
        <v>2360</v>
      </c>
      <c r="O862" s="30" t="n">
        <f aca="false">IFERROR(N862/J862,0)</f>
        <v>0.5</v>
      </c>
      <c r="P862" s="27"/>
      <c r="Q862" s="27" t="s">
        <v>159</v>
      </c>
      <c r="R862" s="27" t="s">
        <v>154</v>
      </c>
      <c r="S862" s="27" t="n">
        <v>5</v>
      </c>
      <c r="T862" s="27"/>
    </row>
    <row r="863" customFormat="false" ht="15" hidden="false" customHeight="false" outlineLevel="0" collapsed="false">
      <c r="A863" s="26" t="n">
        <v>46165</v>
      </c>
      <c r="B863" s="27" t="n">
        <v>2026</v>
      </c>
      <c r="C863" s="27" t="n">
        <v>5</v>
      </c>
      <c r="D863" s="27" t="s">
        <v>84</v>
      </c>
      <c r="E863" s="27" t="s">
        <v>91</v>
      </c>
      <c r="F863" s="27" t="s">
        <v>105</v>
      </c>
      <c r="G863" s="27" t="s">
        <v>118</v>
      </c>
      <c r="H863" s="28" t="n">
        <v>6</v>
      </c>
      <c r="I863" s="29" t="n">
        <v>1180</v>
      </c>
      <c r="J863" s="29" t="n">
        <v>7080</v>
      </c>
      <c r="K863" s="29" t="n">
        <f aca="false">H863*I863</f>
        <v>7080</v>
      </c>
      <c r="L863" s="29" t="n">
        <f aca="false">IFERROR(INDEX(Cat_Productos!$B$2:$B$6,MATCH(G863,Cat_Productos!$A$2:$A$6,0)),"")</f>
        <v>590</v>
      </c>
      <c r="M863" s="29" t="n">
        <f aca="false">IF(L863="","",H863*L863)</f>
        <v>3540</v>
      </c>
      <c r="N863" s="29" t="n">
        <f aca="false">IF(M863="","",J863-M863)</f>
        <v>3540</v>
      </c>
      <c r="O863" s="30" t="n">
        <f aca="false">IFERROR(N863/J863,0)</f>
        <v>0.5</v>
      </c>
      <c r="P863" s="27"/>
      <c r="Q863" s="27" t="s">
        <v>159</v>
      </c>
      <c r="R863" s="27" t="s">
        <v>154</v>
      </c>
      <c r="S863" s="27" t="n">
        <v>4</v>
      </c>
      <c r="T863" s="27"/>
    </row>
    <row r="864" customFormat="false" ht="15" hidden="false" customHeight="false" outlineLevel="0" collapsed="false">
      <c r="A864" s="26" t="n">
        <v>46166</v>
      </c>
      <c r="B864" s="27" t="n">
        <v>2026</v>
      </c>
      <c r="C864" s="27" t="n">
        <v>5</v>
      </c>
      <c r="D864" s="27" t="s">
        <v>84</v>
      </c>
      <c r="E864" s="27" t="s">
        <v>91</v>
      </c>
      <c r="F864" s="27" t="s">
        <v>105</v>
      </c>
      <c r="G864" s="27" t="s">
        <v>117</v>
      </c>
      <c r="H864" s="28" t="n">
        <v>3</v>
      </c>
      <c r="I864" s="29" t="n">
        <v>1450</v>
      </c>
      <c r="J864" s="29" t="n">
        <v>4350</v>
      </c>
      <c r="K864" s="29" t="n">
        <f aca="false">H864*I864</f>
        <v>4350</v>
      </c>
      <c r="L864" s="29" t="n">
        <f aca="false">IFERROR(INDEX(Cat_Productos!$B$2:$B$6,MATCH(G864,Cat_Productos!$A$2:$A$6,0)),"")</f>
        <v>780</v>
      </c>
      <c r="M864" s="29" t="n">
        <f aca="false">IF(L864="","",H864*L864)</f>
        <v>2340</v>
      </c>
      <c r="N864" s="29" t="n">
        <f aca="false">IF(M864="","",J864-M864)</f>
        <v>2010</v>
      </c>
      <c r="O864" s="30" t="n">
        <f aca="false">IFERROR(N864/J864,0)</f>
        <v>0.462068965517241</v>
      </c>
      <c r="P864" s="27"/>
      <c r="Q864" s="27" t="s">
        <v>159</v>
      </c>
      <c r="R864" s="27" t="s">
        <v>154</v>
      </c>
      <c r="S864" s="27" t="n">
        <v>37</v>
      </c>
      <c r="T864" s="27"/>
    </row>
    <row r="865" customFormat="false" ht="15" hidden="false" customHeight="false" outlineLevel="0" collapsed="false">
      <c r="A865" s="26" t="n">
        <v>46166</v>
      </c>
      <c r="B865" s="27" t="n">
        <v>2026</v>
      </c>
      <c r="C865" s="27" t="n">
        <v>5</v>
      </c>
      <c r="D865" s="27" t="s">
        <v>84</v>
      </c>
      <c r="E865" s="27" t="s">
        <v>93</v>
      </c>
      <c r="F865" s="27" t="s">
        <v>108</v>
      </c>
      <c r="G865" s="27" t="s">
        <v>118</v>
      </c>
      <c r="H865" s="28" t="n">
        <v>3</v>
      </c>
      <c r="I865" s="29" t="n">
        <v>1180</v>
      </c>
      <c r="J865" s="29" t="n">
        <v>3540</v>
      </c>
      <c r="K865" s="29" t="n">
        <f aca="false">H865*I865</f>
        <v>3540</v>
      </c>
      <c r="L865" s="29" t="n">
        <f aca="false">IFERROR(INDEX(Cat_Productos!$B$2:$B$6,MATCH(G865,Cat_Productos!$A$2:$A$6,0)),"")</f>
        <v>590</v>
      </c>
      <c r="M865" s="29" t="n">
        <f aca="false">IF(L865="","",H865*L865)</f>
        <v>1770</v>
      </c>
      <c r="N865" s="29" t="n">
        <f aca="false">IF(M865="","",J865-M865)</f>
        <v>1770</v>
      </c>
      <c r="O865" s="30" t="n">
        <f aca="false">IFERROR(N865/J865,0)</f>
        <v>0.5</v>
      </c>
      <c r="P865" s="27"/>
      <c r="Q865" s="27" t="s">
        <v>159</v>
      </c>
      <c r="R865" s="27" t="s">
        <v>154</v>
      </c>
      <c r="S865" s="27" t="n">
        <v>60</v>
      </c>
      <c r="T865" s="27"/>
    </row>
    <row r="866" customFormat="false" ht="15" hidden="false" customHeight="false" outlineLevel="0" collapsed="false">
      <c r="A866" s="26" t="n">
        <v>46166</v>
      </c>
      <c r="B866" s="27" t="n">
        <v>2026</v>
      </c>
      <c r="C866" s="27" t="n">
        <v>5</v>
      </c>
      <c r="D866" s="27" t="s">
        <v>84</v>
      </c>
      <c r="E866" s="27" t="s">
        <v>92</v>
      </c>
      <c r="F866" s="27" t="s">
        <v>108</v>
      </c>
      <c r="G866" s="27" t="s">
        <v>117</v>
      </c>
      <c r="H866" s="28" t="n">
        <v>2</v>
      </c>
      <c r="I866" s="29" t="n">
        <v>1450</v>
      </c>
      <c r="J866" s="29" t="n">
        <v>2900</v>
      </c>
      <c r="K866" s="29" t="n">
        <f aca="false">H866*I866</f>
        <v>2900</v>
      </c>
      <c r="L866" s="29" t="n">
        <f aca="false">IFERROR(INDEX(Cat_Productos!$B$2:$B$6,MATCH(G866,Cat_Productos!$A$2:$A$6,0)),"")</f>
        <v>780</v>
      </c>
      <c r="M866" s="29" t="n">
        <f aca="false">IF(L866="","",H866*L866)</f>
        <v>1560</v>
      </c>
      <c r="N866" s="29" t="n">
        <f aca="false">IF(M866="","",J866-M866)</f>
        <v>1340</v>
      </c>
      <c r="O866" s="30" t="n">
        <f aca="false">IFERROR(N866/J866,0)</f>
        <v>0.462068965517241</v>
      </c>
      <c r="P866" s="27"/>
      <c r="Q866" s="27" t="s">
        <v>159</v>
      </c>
      <c r="R866" s="27" t="s">
        <v>154</v>
      </c>
      <c r="S866" s="27" t="n">
        <v>52</v>
      </c>
      <c r="T866" s="27"/>
    </row>
    <row r="867" customFormat="false" ht="15" hidden="false" customHeight="false" outlineLevel="0" collapsed="false">
      <c r="A867" s="26" t="n">
        <v>46167</v>
      </c>
      <c r="B867" s="27" t="n">
        <v>2026</v>
      </c>
      <c r="C867" s="27" t="n">
        <v>5</v>
      </c>
      <c r="D867" s="27" t="s">
        <v>84</v>
      </c>
      <c r="E867" s="27" t="s">
        <v>91</v>
      </c>
      <c r="F867" s="27" t="s">
        <v>108</v>
      </c>
      <c r="G867" s="27" t="s">
        <v>118</v>
      </c>
      <c r="H867" s="28" t="n">
        <v>2</v>
      </c>
      <c r="I867" s="29" t="n">
        <v>1180</v>
      </c>
      <c r="J867" s="29" t="n">
        <v>2360</v>
      </c>
      <c r="K867" s="29" t="n">
        <f aca="false">H867*I867</f>
        <v>2360</v>
      </c>
      <c r="L867" s="29" t="n">
        <f aca="false">IFERROR(INDEX(Cat_Productos!$B$2:$B$6,MATCH(G867,Cat_Productos!$A$2:$A$6,0)),"")</f>
        <v>590</v>
      </c>
      <c r="M867" s="29" t="n">
        <f aca="false">IF(L867="","",H867*L867)</f>
        <v>1180</v>
      </c>
      <c r="N867" s="29" t="n">
        <f aca="false">IF(M867="","",J867-M867)</f>
        <v>1180</v>
      </c>
      <c r="O867" s="30" t="n">
        <f aca="false">IFERROR(N867/J867,0)</f>
        <v>0.5</v>
      </c>
      <c r="P867" s="27"/>
      <c r="Q867" s="27" t="s">
        <v>159</v>
      </c>
      <c r="R867" s="27" t="s">
        <v>154</v>
      </c>
      <c r="S867" s="27" t="n">
        <v>21</v>
      </c>
      <c r="T867" s="27"/>
    </row>
    <row r="868" customFormat="false" ht="15" hidden="false" customHeight="false" outlineLevel="0" collapsed="false">
      <c r="A868" s="26" t="n">
        <v>46167</v>
      </c>
      <c r="B868" s="27" t="n">
        <v>2026</v>
      </c>
      <c r="C868" s="27" t="n">
        <v>5</v>
      </c>
      <c r="D868" s="27" t="s">
        <v>84</v>
      </c>
      <c r="E868" s="27" t="s">
        <v>92</v>
      </c>
      <c r="F868" s="27" t="s">
        <v>104</v>
      </c>
      <c r="G868" s="27" t="s">
        <v>115</v>
      </c>
      <c r="H868" s="28" t="n">
        <v>1</v>
      </c>
      <c r="I868" s="29" t="n">
        <v>6200</v>
      </c>
      <c r="J868" s="29" t="n">
        <v>6200</v>
      </c>
      <c r="K868" s="29" t="n">
        <f aca="false">H868*I868</f>
        <v>6200</v>
      </c>
      <c r="L868" s="29" t="n">
        <f aca="false">IFERROR(INDEX(Cat_Productos!$B$2:$B$6,MATCH(G868,Cat_Productos!$A$2:$A$6,0)),"")</f>
        <v>4100</v>
      </c>
      <c r="M868" s="29" t="n">
        <f aca="false">IF(L868="","",H868*L868)</f>
        <v>4100</v>
      </c>
      <c r="N868" s="29" t="n">
        <f aca="false">IF(M868="","",J868-M868)</f>
        <v>2100</v>
      </c>
      <c r="O868" s="30" t="n">
        <f aca="false">IFERROR(N868/J868,0)</f>
        <v>0.338709677419355</v>
      </c>
      <c r="P868" s="27"/>
      <c r="Q868" s="27" t="s">
        <v>159</v>
      </c>
      <c r="R868" s="27" t="s">
        <v>154</v>
      </c>
      <c r="S868" s="27" t="n">
        <v>16</v>
      </c>
      <c r="T868" s="27"/>
    </row>
    <row r="869" customFormat="false" ht="15" hidden="false" customHeight="false" outlineLevel="0" collapsed="false">
      <c r="A869" s="26" t="n">
        <v>46167</v>
      </c>
      <c r="B869" s="27" t="n">
        <v>2026</v>
      </c>
      <c r="C869" s="27" t="n">
        <v>5</v>
      </c>
      <c r="D869" s="27" t="s">
        <v>84</v>
      </c>
      <c r="E869" s="27" t="s">
        <v>92</v>
      </c>
      <c r="F869" s="27" t="s">
        <v>105</v>
      </c>
      <c r="G869" s="27" t="s">
        <v>117</v>
      </c>
      <c r="H869" s="28" t="n">
        <v>4</v>
      </c>
      <c r="I869" s="29" t="n">
        <v>1450</v>
      </c>
      <c r="J869" s="29" t="n">
        <v>5800</v>
      </c>
      <c r="K869" s="29" t="n">
        <f aca="false">H869*I869</f>
        <v>5800</v>
      </c>
      <c r="L869" s="29" t="n">
        <f aca="false">IFERROR(INDEX(Cat_Productos!$B$2:$B$6,MATCH(G869,Cat_Productos!$A$2:$A$6,0)),"")</f>
        <v>780</v>
      </c>
      <c r="M869" s="29" t="n">
        <f aca="false">IF(L869="","",H869*L869)</f>
        <v>3120</v>
      </c>
      <c r="N869" s="29" t="n">
        <f aca="false">IF(M869="","",J869-M869)</f>
        <v>2680</v>
      </c>
      <c r="O869" s="30" t="n">
        <f aca="false">IFERROR(N869/J869,0)</f>
        <v>0.462068965517241</v>
      </c>
      <c r="P869" s="27"/>
      <c r="Q869" s="27" t="s">
        <v>159</v>
      </c>
      <c r="R869" s="27" t="s">
        <v>154</v>
      </c>
      <c r="S869" s="27" t="n">
        <v>81</v>
      </c>
      <c r="T869" s="27"/>
    </row>
    <row r="870" customFormat="false" ht="15" hidden="false" customHeight="false" outlineLevel="0" collapsed="false">
      <c r="A870" s="26" t="n">
        <v>46167</v>
      </c>
      <c r="B870" s="27" t="n">
        <v>2026</v>
      </c>
      <c r="C870" s="27" t="n">
        <v>5</v>
      </c>
      <c r="D870" s="27" t="s">
        <v>84</v>
      </c>
      <c r="E870" s="27" t="s">
        <v>91</v>
      </c>
      <c r="F870" s="27" t="s">
        <v>108</v>
      </c>
      <c r="G870" s="27" t="s">
        <v>117</v>
      </c>
      <c r="H870" s="28" t="n">
        <v>2</v>
      </c>
      <c r="I870" s="29" t="n">
        <v>1450</v>
      </c>
      <c r="J870" s="29" t="n">
        <v>2900</v>
      </c>
      <c r="K870" s="29" t="n">
        <f aca="false">H870*I870</f>
        <v>2900</v>
      </c>
      <c r="L870" s="29" t="n">
        <f aca="false">IFERROR(INDEX(Cat_Productos!$B$2:$B$6,MATCH(G870,Cat_Productos!$A$2:$A$6,0)),"")</f>
        <v>780</v>
      </c>
      <c r="M870" s="29" t="n">
        <f aca="false">IF(L870="","",H870*L870)</f>
        <v>1560</v>
      </c>
      <c r="N870" s="29" t="n">
        <f aca="false">IF(M870="","",J870-M870)</f>
        <v>1340</v>
      </c>
      <c r="O870" s="30" t="n">
        <f aca="false">IFERROR(N870/J870,0)</f>
        <v>0.462068965517241</v>
      </c>
      <c r="P870" s="27"/>
      <c r="Q870" s="27" t="s">
        <v>159</v>
      </c>
      <c r="R870" s="27" t="s">
        <v>154</v>
      </c>
      <c r="S870" s="27" t="n">
        <v>48</v>
      </c>
      <c r="T870" s="27"/>
    </row>
    <row r="871" customFormat="false" ht="15" hidden="false" customHeight="false" outlineLevel="0" collapsed="false">
      <c r="A871" s="26" t="n">
        <v>46167</v>
      </c>
      <c r="B871" s="27" t="n">
        <v>2026</v>
      </c>
      <c r="C871" s="27" t="n">
        <v>5</v>
      </c>
      <c r="D871" s="27" t="s">
        <v>84</v>
      </c>
      <c r="E871" s="27" t="s">
        <v>93</v>
      </c>
      <c r="F871" s="27" t="s">
        <v>106</v>
      </c>
      <c r="G871" s="27" t="s">
        <v>118</v>
      </c>
      <c r="H871" s="28" t="n">
        <v>1</v>
      </c>
      <c r="I871" s="29" t="n">
        <v>1180</v>
      </c>
      <c r="J871" s="29" t="n">
        <v>1180</v>
      </c>
      <c r="K871" s="29" t="n">
        <f aca="false">H871*I871</f>
        <v>1180</v>
      </c>
      <c r="L871" s="29" t="n">
        <f aca="false">IFERROR(INDEX(Cat_Productos!$B$2:$B$6,MATCH(G871,Cat_Productos!$A$2:$A$6,0)),"")</f>
        <v>590</v>
      </c>
      <c r="M871" s="29" t="n">
        <f aca="false">IF(L871="","",H871*L871)</f>
        <v>590</v>
      </c>
      <c r="N871" s="29" t="n">
        <f aca="false">IF(M871="","",J871-M871)</f>
        <v>590</v>
      </c>
      <c r="O871" s="30" t="n">
        <f aca="false">IFERROR(N871/J871,0)</f>
        <v>0.5</v>
      </c>
      <c r="P871" s="27"/>
      <c r="Q871" s="27" t="s">
        <v>159</v>
      </c>
      <c r="R871" s="27" t="s">
        <v>154</v>
      </c>
      <c r="S871" s="27" t="n">
        <v>120</v>
      </c>
      <c r="T871" s="27"/>
    </row>
    <row r="872" customFormat="false" ht="15" hidden="false" customHeight="false" outlineLevel="0" collapsed="false">
      <c r="A872" s="26" t="n">
        <v>46167</v>
      </c>
      <c r="B872" s="27" t="n">
        <v>2026</v>
      </c>
      <c r="C872" s="27" t="n">
        <v>5</v>
      </c>
      <c r="D872" s="27" t="s">
        <v>84</v>
      </c>
      <c r="E872" s="27" t="s">
        <v>93</v>
      </c>
      <c r="F872" s="27" t="s">
        <v>107</v>
      </c>
      <c r="G872" s="27" t="s">
        <v>114</v>
      </c>
      <c r="H872" s="28" t="n">
        <v>5</v>
      </c>
      <c r="I872" s="29" t="n">
        <v>24500</v>
      </c>
      <c r="J872" s="29" t="n">
        <v>122500</v>
      </c>
      <c r="K872" s="29" t="n">
        <f aca="false">H872*I872</f>
        <v>122500</v>
      </c>
      <c r="L872" s="29" t="n">
        <f aca="false">IFERROR(INDEX(Cat_Productos!$B$2:$B$6,MATCH(G872,Cat_Productos!$A$2:$A$6,0)),"")</f>
        <v>19200</v>
      </c>
      <c r="M872" s="29" t="n">
        <f aca="false">IF(L872="","",H872*L872)</f>
        <v>96000</v>
      </c>
      <c r="N872" s="29" t="n">
        <f aca="false">IF(M872="","",J872-M872)</f>
        <v>26500</v>
      </c>
      <c r="O872" s="30" t="n">
        <f aca="false">IFERROR(N872/J872,0)</f>
        <v>0.216326530612245</v>
      </c>
      <c r="P872" s="27"/>
      <c r="Q872" s="27" t="s">
        <v>159</v>
      </c>
      <c r="R872" s="27" t="s">
        <v>154</v>
      </c>
      <c r="S872" s="27" t="n">
        <v>105</v>
      </c>
      <c r="T872" s="27"/>
    </row>
    <row r="873" customFormat="false" ht="15" hidden="false" customHeight="false" outlineLevel="0" collapsed="false">
      <c r="A873" s="26" t="n">
        <v>46168</v>
      </c>
      <c r="B873" s="27" t="n">
        <v>2026</v>
      </c>
      <c r="C873" s="27" t="n">
        <v>5</v>
      </c>
      <c r="D873" s="27" t="s">
        <v>84</v>
      </c>
      <c r="E873" s="27" t="s">
        <v>91</v>
      </c>
      <c r="F873" s="27" t="s">
        <v>103</v>
      </c>
      <c r="G873" s="27" t="s">
        <v>116</v>
      </c>
      <c r="H873" s="28" t="n">
        <v>6</v>
      </c>
      <c r="I873" s="29" t="n">
        <v>620</v>
      </c>
      <c r="J873" s="29" t="n">
        <v>3720</v>
      </c>
      <c r="K873" s="29" t="n">
        <f aca="false">H873*I873</f>
        <v>3720</v>
      </c>
      <c r="L873" s="29" t="n">
        <f aca="false">IFERROR(INDEX(Cat_Productos!$B$2:$B$6,MATCH(G873,Cat_Productos!$A$2:$A$6,0)),"")</f>
        <v>290</v>
      </c>
      <c r="M873" s="29" t="n">
        <f aca="false">IF(L873="","",H873*L873)</f>
        <v>1740</v>
      </c>
      <c r="N873" s="29" t="n">
        <f aca="false">IF(M873="","",J873-M873)</f>
        <v>1980</v>
      </c>
      <c r="O873" s="30" t="n">
        <f aca="false">IFERROR(N873/J873,0)</f>
        <v>0.532258064516129</v>
      </c>
      <c r="P873" s="27"/>
      <c r="Q873" s="27" t="s">
        <v>159</v>
      </c>
      <c r="R873" s="27" t="s">
        <v>154</v>
      </c>
      <c r="S873" s="27" t="n">
        <v>65</v>
      </c>
      <c r="T873" s="27"/>
    </row>
    <row r="874" customFormat="false" ht="15" hidden="false" customHeight="false" outlineLevel="0" collapsed="false">
      <c r="A874" s="26" t="n">
        <v>46168</v>
      </c>
      <c r="B874" s="27" t="n">
        <v>2026</v>
      </c>
      <c r="C874" s="27" t="n">
        <v>5</v>
      </c>
      <c r="D874" s="27" t="s">
        <v>84</v>
      </c>
      <c r="E874" s="27" t="s">
        <v>91</v>
      </c>
      <c r="F874" s="27" t="s">
        <v>105</v>
      </c>
      <c r="G874" s="27" t="s">
        <v>116</v>
      </c>
      <c r="H874" s="28" t="n">
        <v>4</v>
      </c>
      <c r="I874" s="29" t="n">
        <v>620</v>
      </c>
      <c r="J874" s="29" t="n">
        <v>2480</v>
      </c>
      <c r="K874" s="29" t="n">
        <f aca="false">H874*I874</f>
        <v>2480</v>
      </c>
      <c r="L874" s="29" t="n">
        <f aca="false">IFERROR(INDEX(Cat_Productos!$B$2:$B$6,MATCH(G874,Cat_Productos!$A$2:$A$6,0)),"")</f>
        <v>290</v>
      </c>
      <c r="M874" s="29" t="n">
        <f aca="false">IF(L874="","",H874*L874)</f>
        <v>1160</v>
      </c>
      <c r="N874" s="29" t="n">
        <f aca="false">IF(M874="","",J874-M874)</f>
        <v>1320</v>
      </c>
      <c r="O874" s="30" t="n">
        <f aca="false">IFERROR(N874/J874,0)</f>
        <v>0.532258064516129</v>
      </c>
      <c r="P874" s="27"/>
      <c r="Q874" s="27" t="s">
        <v>159</v>
      </c>
      <c r="R874" s="27" t="s">
        <v>154</v>
      </c>
      <c r="S874" s="27" t="n">
        <v>53</v>
      </c>
      <c r="T874" s="27"/>
    </row>
    <row r="875" customFormat="false" ht="15" hidden="false" customHeight="false" outlineLevel="0" collapsed="false">
      <c r="A875" s="26" t="n">
        <v>46169</v>
      </c>
      <c r="B875" s="27" t="n">
        <v>2026</v>
      </c>
      <c r="C875" s="27" t="n">
        <v>5</v>
      </c>
      <c r="D875" s="27" t="s">
        <v>84</v>
      </c>
      <c r="E875" s="27" t="s">
        <v>91</v>
      </c>
      <c r="F875" s="27" t="s">
        <v>108</v>
      </c>
      <c r="G875" s="27" t="s">
        <v>114</v>
      </c>
      <c r="H875" s="28" t="n">
        <v>4</v>
      </c>
      <c r="I875" s="29" t="n">
        <v>24500</v>
      </c>
      <c r="J875" s="29" t="n">
        <v>98000</v>
      </c>
      <c r="K875" s="29" t="n">
        <f aca="false">H875*I875</f>
        <v>98000</v>
      </c>
      <c r="L875" s="29" t="n">
        <f aca="false">IFERROR(INDEX(Cat_Productos!$B$2:$B$6,MATCH(G875,Cat_Productos!$A$2:$A$6,0)),"")</f>
        <v>19200</v>
      </c>
      <c r="M875" s="29" t="n">
        <f aca="false">IF(L875="","",H875*L875)</f>
        <v>76800</v>
      </c>
      <c r="N875" s="29" t="n">
        <f aca="false">IF(M875="","",J875-M875)</f>
        <v>21200</v>
      </c>
      <c r="O875" s="30" t="n">
        <f aca="false">IFERROR(N875/J875,0)</f>
        <v>0.216326530612245</v>
      </c>
      <c r="P875" s="27"/>
      <c r="Q875" s="27" t="s">
        <v>159</v>
      </c>
      <c r="R875" s="27" t="s">
        <v>154</v>
      </c>
      <c r="S875" s="27" t="n">
        <v>88</v>
      </c>
      <c r="T875" s="27"/>
    </row>
    <row r="876" customFormat="false" ht="15" hidden="false" customHeight="false" outlineLevel="0" collapsed="false">
      <c r="A876" s="26" t="n">
        <v>46169</v>
      </c>
      <c r="B876" s="27" t="n">
        <v>2026</v>
      </c>
      <c r="C876" s="27" t="n">
        <v>5</v>
      </c>
      <c r="D876" s="27" t="s">
        <v>84</v>
      </c>
      <c r="E876" s="27" t="s">
        <v>93</v>
      </c>
      <c r="F876" s="27" t="s">
        <v>104</v>
      </c>
      <c r="G876" s="27" t="s">
        <v>118</v>
      </c>
      <c r="H876" s="28" t="n">
        <v>1</v>
      </c>
      <c r="I876" s="29" t="n">
        <v>1180</v>
      </c>
      <c r="J876" s="29" t="n">
        <v>1180</v>
      </c>
      <c r="K876" s="29" t="n">
        <f aca="false">H876*I876</f>
        <v>1180</v>
      </c>
      <c r="L876" s="29" t="n">
        <f aca="false">IFERROR(INDEX(Cat_Productos!$B$2:$B$6,MATCH(G876,Cat_Productos!$A$2:$A$6,0)),"")</f>
        <v>590</v>
      </c>
      <c r="M876" s="29" t="n">
        <f aca="false">IF(L876="","",H876*L876)</f>
        <v>590</v>
      </c>
      <c r="N876" s="29" t="n">
        <f aca="false">IF(M876="","",J876-M876)</f>
        <v>590</v>
      </c>
      <c r="O876" s="30" t="n">
        <f aca="false">IFERROR(N876/J876,0)</f>
        <v>0.5</v>
      </c>
      <c r="P876" s="27"/>
      <c r="Q876" s="27" t="s">
        <v>159</v>
      </c>
      <c r="R876" s="27" t="s">
        <v>154</v>
      </c>
      <c r="S876" s="27" t="n">
        <v>12</v>
      </c>
      <c r="T876" s="27"/>
    </row>
    <row r="877" customFormat="false" ht="15" hidden="false" customHeight="false" outlineLevel="0" collapsed="false">
      <c r="A877" s="26" t="n">
        <v>46169</v>
      </c>
      <c r="B877" s="27" t="n">
        <v>2026</v>
      </c>
      <c r="C877" s="27" t="n">
        <v>5</v>
      </c>
      <c r="D877" s="27" t="s">
        <v>84</v>
      </c>
      <c r="E877" s="27" t="s">
        <v>91</v>
      </c>
      <c r="F877" s="27" t="s">
        <v>107</v>
      </c>
      <c r="G877" s="27" t="s">
        <v>118</v>
      </c>
      <c r="H877" s="28" t="n">
        <v>1</v>
      </c>
      <c r="I877" s="29" t="n">
        <v>1180</v>
      </c>
      <c r="J877" s="29" t="n">
        <v>1180</v>
      </c>
      <c r="K877" s="29" t="n">
        <f aca="false">H877*I877</f>
        <v>1180</v>
      </c>
      <c r="L877" s="29" t="n">
        <f aca="false">IFERROR(INDEX(Cat_Productos!$B$2:$B$6,MATCH(G877,Cat_Productos!$A$2:$A$6,0)),"")</f>
        <v>590</v>
      </c>
      <c r="M877" s="29" t="n">
        <f aca="false">IF(L877="","",H877*L877)</f>
        <v>590</v>
      </c>
      <c r="N877" s="29" t="n">
        <f aca="false">IF(M877="","",J877-M877)</f>
        <v>590</v>
      </c>
      <c r="O877" s="30" t="n">
        <f aca="false">IFERROR(N877/J877,0)</f>
        <v>0.5</v>
      </c>
      <c r="P877" s="27"/>
      <c r="Q877" s="27" t="s">
        <v>159</v>
      </c>
      <c r="R877" s="27" t="s">
        <v>154</v>
      </c>
      <c r="S877" s="27" t="n">
        <v>23</v>
      </c>
      <c r="T877" s="27"/>
    </row>
    <row r="878" customFormat="false" ht="15" hidden="false" customHeight="false" outlineLevel="0" collapsed="false">
      <c r="A878" s="26" t="n">
        <v>46170</v>
      </c>
      <c r="B878" s="27" t="n">
        <v>2026</v>
      </c>
      <c r="C878" s="27" t="n">
        <v>5</v>
      </c>
      <c r="D878" s="27" t="s">
        <v>84</v>
      </c>
      <c r="E878" s="27" t="s">
        <v>91</v>
      </c>
      <c r="F878" s="27" t="s">
        <v>103</v>
      </c>
      <c r="G878" s="27" t="s">
        <v>117</v>
      </c>
      <c r="H878" s="28" t="n">
        <v>6</v>
      </c>
      <c r="I878" s="29" t="n">
        <v>1450</v>
      </c>
      <c r="J878" s="29" t="n">
        <v>8700</v>
      </c>
      <c r="K878" s="29" t="n">
        <f aca="false">H878*I878</f>
        <v>8700</v>
      </c>
      <c r="L878" s="29" t="n">
        <f aca="false">IFERROR(INDEX(Cat_Productos!$B$2:$B$6,MATCH(G878,Cat_Productos!$A$2:$A$6,0)),"")</f>
        <v>780</v>
      </c>
      <c r="M878" s="29" t="n">
        <f aca="false">IF(L878="","",H878*L878)</f>
        <v>4680</v>
      </c>
      <c r="N878" s="29" t="n">
        <f aca="false">IF(M878="","",J878-M878)</f>
        <v>4020</v>
      </c>
      <c r="O878" s="30" t="n">
        <f aca="false">IFERROR(N878/J878,0)</f>
        <v>0.462068965517241</v>
      </c>
      <c r="P878" s="27"/>
      <c r="Q878" s="27" t="s">
        <v>159</v>
      </c>
      <c r="R878" s="27" t="s">
        <v>154</v>
      </c>
      <c r="S878" s="27" t="n">
        <v>20</v>
      </c>
      <c r="T878" s="27"/>
    </row>
    <row r="879" customFormat="false" ht="15" hidden="false" customHeight="false" outlineLevel="0" collapsed="false">
      <c r="A879" s="26" t="n">
        <v>46170</v>
      </c>
      <c r="B879" s="27" t="n">
        <v>2026</v>
      </c>
      <c r="C879" s="27" t="n">
        <v>5</v>
      </c>
      <c r="D879" s="27" t="s">
        <v>84</v>
      </c>
      <c r="E879" s="27" t="s">
        <v>92</v>
      </c>
      <c r="F879" s="27" t="s">
        <v>106</v>
      </c>
      <c r="G879" s="27" t="s">
        <v>115</v>
      </c>
      <c r="H879" s="28" t="n">
        <v>1</v>
      </c>
      <c r="I879" s="29" t="n">
        <v>6200</v>
      </c>
      <c r="J879" s="29" t="n">
        <v>6200</v>
      </c>
      <c r="K879" s="29" t="n">
        <f aca="false">H879*I879</f>
        <v>6200</v>
      </c>
      <c r="L879" s="29" t="n">
        <f aca="false">IFERROR(INDEX(Cat_Productos!$B$2:$B$6,MATCH(G879,Cat_Productos!$A$2:$A$6,0)),"")</f>
        <v>4100</v>
      </c>
      <c r="M879" s="29" t="n">
        <f aca="false">IF(L879="","",H879*L879)</f>
        <v>4100</v>
      </c>
      <c r="N879" s="29" t="n">
        <f aca="false">IF(M879="","",J879-M879)</f>
        <v>2100</v>
      </c>
      <c r="O879" s="30" t="n">
        <f aca="false">IFERROR(N879/J879,0)</f>
        <v>0.338709677419355</v>
      </c>
      <c r="P879" s="27"/>
      <c r="Q879" s="27" t="s">
        <v>159</v>
      </c>
      <c r="R879" s="27" t="s">
        <v>154</v>
      </c>
      <c r="S879" s="27" t="n">
        <v>102</v>
      </c>
      <c r="T879" s="27"/>
    </row>
    <row r="880" customFormat="false" ht="15" hidden="false" customHeight="false" outlineLevel="0" collapsed="false">
      <c r="A880" s="26" t="n">
        <v>46171</v>
      </c>
      <c r="B880" s="27" t="n">
        <v>2026</v>
      </c>
      <c r="C880" s="27" t="n">
        <v>5</v>
      </c>
      <c r="D880" s="27" t="s">
        <v>84</v>
      </c>
      <c r="E880" s="27" t="s">
        <v>92</v>
      </c>
      <c r="F880" s="27" t="s">
        <v>105</v>
      </c>
      <c r="G880" s="27" t="s">
        <v>117</v>
      </c>
      <c r="H880" s="28" t="n">
        <v>1</v>
      </c>
      <c r="I880" s="29" t="n">
        <v>1450</v>
      </c>
      <c r="J880" s="29" t="n">
        <v>1450</v>
      </c>
      <c r="K880" s="29" t="n">
        <f aca="false">H880*I880</f>
        <v>1450</v>
      </c>
      <c r="L880" s="29" t="n">
        <f aca="false">IFERROR(INDEX(Cat_Productos!$B$2:$B$6,MATCH(G880,Cat_Productos!$A$2:$A$6,0)),"")</f>
        <v>780</v>
      </c>
      <c r="M880" s="29" t="n">
        <f aca="false">IF(L880="","",H880*L880)</f>
        <v>780</v>
      </c>
      <c r="N880" s="29" t="n">
        <f aca="false">IF(M880="","",J880-M880)</f>
        <v>670</v>
      </c>
      <c r="O880" s="30" t="n">
        <f aca="false">IFERROR(N880/J880,0)</f>
        <v>0.462068965517241</v>
      </c>
      <c r="P880" s="27"/>
      <c r="Q880" s="27" t="s">
        <v>159</v>
      </c>
      <c r="R880" s="27" t="s">
        <v>154</v>
      </c>
      <c r="S880" s="27" t="n">
        <v>47</v>
      </c>
      <c r="T880" s="27"/>
    </row>
    <row r="881" customFormat="false" ht="15" hidden="false" customHeight="false" outlineLevel="0" collapsed="false">
      <c r="A881" s="26" t="n">
        <v>46171</v>
      </c>
      <c r="B881" s="27" t="n">
        <v>2026</v>
      </c>
      <c r="C881" s="27" t="n">
        <v>5</v>
      </c>
      <c r="D881" s="27" t="s">
        <v>84</v>
      </c>
      <c r="E881" s="27" t="s">
        <v>91</v>
      </c>
      <c r="F881" s="27" t="s">
        <v>106</v>
      </c>
      <c r="G881" s="27" t="s">
        <v>118</v>
      </c>
      <c r="H881" s="28" t="n">
        <v>1</v>
      </c>
      <c r="I881" s="29" t="n">
        <v>1180</v>
      </c>
      <c r="J881" s="29" t="n">
        <v>1180</v>
      </c>
      <c r="K881" s="29" t="n">
        <f aca="false">H881*I881</f>
        <v>1180</v>
      </c>
      <c r="L881" s="29" t="n">
        <f aca="false">IFERROR(INDEX(Cat_Productos!$B$2:$B$6,MATCH(G881,Cat_Productos!$A$2:$A$6,0)),"")</f>
        <v>590</v>
      </c>
      <c r="M881" s="29" t="n">
        <f aca="false">IF(L881="","",H881*L881)</f>
        <v>590</v>
      </c>
      <c r="N881" s="29" t="n">
        <f aca="false">IF(M881="","",J881-M881)</f>
        <v>590</v>
      </c>
      <c r="O881" s="30" t="n">
        <f aca="false">IFERROR(N881/J881,0)</f>
        <v>0.5</v>
      </c>
      <c r="P881" s="27"/>
      <c r="Q881" s="27" t="s">
        <v>159</v>
      </c>
      <c r="R881" s="27" t="s">
        <v>154</v>
      </c>
      <c r="S881" s="27" t="n">
        <v>43</v>
      </c>
      <c r="T881" s="27"/>
    </row>
    <row r="882" customFormat="false" ht="15" hidden="false" customHeight="false" outlineLevel="0" collapsed="false">
      <c r="A882" s="26" t="n">
        <v>46171</v>
      </c>
      <c r="B882" s="27" t="n">
        <v>2026</v>
      </c>
      <c r="C882" s="27" t="n">
        <v>5</v>
      </c>
      <c r="D882" s="27" t="s">
        <v>84</v>
      </c>
      <c r="E882" s="27" t="s">
        <v>93</v>
      </c>
      <c r="F882" s="27" t="s">
        <v>103</v>
      </c>
      <c r="G882" s="27" t="s">
        <v>118</v>
      </c>
      <c r="H882" s="28" t="n">
        <v>2</v>
      </c>
      <c r="I882" s="29" t="n">
        <v>1180</v>
      </c>
      <c r="J882" s="29" t="n">
        <v>2360</v>
      </c>
      <c r="K882" s="29" t="n">
        <f aca="false">H882*I882</f>
        <v>2360</v>
      </c>
      <c r="L882" s="29" t="n">
        <f aca="false">IFERROR(INDEX(Cat_Productos!$B$2:$B$6,MATCH(G882,Cat_Productos!$A$2:$A$6,0)),"")</f>
        <v>590</v>
      </c>
      <c r="M882" s="29" t="n">
        <f aca="false">IF(L882="","",H882*L882)</f>
        <v>1180</v>
      </c>
      <c r="N882" s="29" t="n">
        <f aca="false">IF(M882="","",J882-M882)</f>
        <v>1180</v>
      </c>
      <c r="O882" s="30" t="n">
        <f aca="false">IFERROR(N882/J882,0)</f>
        <v>0.5</v>
      </c>
      <c r="P882" s="27"/>
      <c r="Q882" s="27" t="s">
        <v>159</v>
      </c>
      <c r="R882" s="27" t="s">
        <v>154</v>
      </c>
      <c r="S882" s="27" t="n">
        <v>71</v>
      </c>
      <c r="T882" s="27"/>
    </row>
    <row r="883" customFormat="false" ht="15" hidden="false" customHeight="false" outlineLevel="0" collapsed="false">
      <c r="A883" s="26" t="n">
        <v>46171</v>
      </c>
      <c r="B883" s="27" t="n">
        <v>2026</v>
      </c>
      <c r="C883" s="27" t="n">
        <v>5</v>
      </c>
      <c r="D883" s="27" t="s">
        <v>84</v>
      </c>
      <c r="E883" s="27" t="s">
        <v>91</v>
      </c>
      <c r="F883" s="27" t="s">
        <v>106</v>
      </c>
      <c r="G883" s="27" t="s">
        <v>116</v>
      </c>
      <c r="H883" s="28" t="n">
        <v>3</v>
      </c>
      <c r="I883" s="29" t="n">
        <v>620</v>
      </c>
      <c r="J883" s="29" t="n">
        <v>1860</v>
      </c>
      <c r="K883" s="29" t="n">
        <f aca="false">H883*I883</f>
        <v>1860</v>
      </c>
      <c r="L883" s="29" t="n">
        <f aca="false">IFERROR(INDEX(Cat_Productos!$B$2:$B$6,MATCH(G883,Cat_Productos!$A$2:$A$6,0)),"")</f>
        <v>290</v>
      </c>
      <c r="M883" s="29" t="n">
        <f aca="false">IF(L883="","",H883*L883)</f>
        <v>870</v>
      </c>
      <c r="N883" s="29" t="n">
        <f aca="false">IF(M883="","",J883-M883)</f>
        <v>990</v>
      </c>
      <c r="O883" s="30" t="n">
        <f aca="false">IFERROR(N883/J883,0)</f>
        <v>0.532258064516129</v>
      </c>
      <c r="P883" s="27"/>
      <c r="Q883" s="27" t="s">
        <v>159</v>
      </c>
      <c r="R883" s="27" t="s">
        <v>154</v>
      </c>
      <c r="S883" s="27" t="n">
        <v>22</v>
      </c>
      <c r="T883" s="27"/>
    </row>
    <row r="884" customFormat="false" ht="15" hidden="false" customHeight="false" outlineLevel="0" collapsed="false">
      <c r="A884" s="26" t="n">
        <v>46172</v>
      </c>
      <c r="B884" s="27" t="n">
        <v>2026</v>
      </c>
      <c r="C884" s="27" t="n">
        <v>5</v>
      </c>
      <c r="D884" s="27" t="s">
        <v>84</v>
      </c>
      <c r="E884" s="27" t="s">
        <v>91</v>
      </c>
      <c r="F884" s="27" t="s">
        <v>107</v>
      </c>
      <c r="G884" s="27" t="s">
        <v>116</v>
      </c>
      <c r="H884" s="28" t="n">
        <v>5</v>
      </c>
      <c r="I884" s="29" t="n">
        <v>620</v>
      </c>
      <c r="J884" s="29" t="n">
        <v>3100</v>
      </c>
      <c r="K884" s="29" t="n">
        <f aca="false">H884*I884</f>
        <v>3100</v>
      </c>
      <c r="L884" s="29" t="n">
        <f aca="false">IFERROR(INDEX(Cat_Productos!$B$2:$B$6,MATCH(G884,Cat_Productos!$A$2:$A$6,0)),"")</f>
        <v>290</v>
      </c>
      <c r="M884" s="29" t="n">
        <f aca="false">IF(L884="","",H884*L884)</f>
        <v>1450</v>
      </c>
      <c r="N884" s="29" t="n">
        <f aca="false">IF(M884="","",J884-M884)</f>
        <v>1650</v>
      </c>
      <c r="O884" s="30" t="n">
        <f aca="false">IFERROR(N884/J884,0)</f>
        <v>0.532258064516129</v>
      </c>
      <c r="P884" s="27"/>
      <c r="Q884" s="27" t="s">
        <v>159</v>
      </c>
      <c r="R884" s="27" t="s">
        <v>154</v>
      </c>
      <c r="S884" s="27" t="n">
        <v>13</v>
      </c>
      <c r="T884" s="27"/>
    </row>
    <row r="885" customFormat="false" ht="15" hidden="false" customHeight="false" outlineLevel="0" collapsed="false">
      <c r="A885" s="26" t="n">
        <v>46172</v>
      </c>
      <c r="B885" s="27" t="n">
        <v>2026</v>
      </c>
      <c r="C885" s="27" t="n">
        <v>5</v>
      </c>
      <c r="D885" s="27" t="s">
        <v>84</v>
      </c>
      <c r="E885" s="27" t="s">
        <v>93</v>
      </c>
      <c r="F885" s="27" t="s">
        <v>103</v>
      </c>
      <c r="G885" s="27" t="s">
        <v>118</v>
      </c>
      <c r="H885" s="28" t="n">
        <v>3</v>
      </c>
      <c r="I885" s="29" t="n">
        <v>1180</v>
      </c>
      <c r="J885" s="29" t="n">
        <v>3540</v>
      </c>
      <c r="K885" s="29" t="n">
        <f aca="false">H885*I885</f>
        <v>3540</v>
      </c>
      <c r="L885" s="29" t="n">
        <f aca="false">IFERROR(INDEX(Cat_Productos!$B$2:$B$6,MATCH(G885,Cat_Productos!$A$2:$A$6,0)),"")</f>
        <v>590</v>
      </c>
      <c r="M885" s="29" t="n">
        <f aca="false">IF(L885="","",H885*L885)</f>
        <v>1770</v>
      </c>
      <c r="N885" s="29" t="n">
        <f aca="false">IF(M885="","",J885-M885)</f>
        <v>1770</v>
      </c>
      <c r="O885" s="30" t="n">
        <f aca="false">IFERROR(N885/J885,0)</f>
        <v>0.5</v>
      </c>
      <c r="P885" s="27"/>
      <c r="Q885" s="27" t="s">
        <v>159</v>
      </c>
      <c r="R885" s="27" t="s">
        <v>154</v>
      </c>
      <c r="S885" s="27" t="n">
        <v>111</v>
      </c>
      <c r="T885" s="27"/>
    </row>
    <row r="886" customFormat="false" ht="15" hidden="false" customHeight="false" outlineLevel="0" collapsed="false">
      <c r="A886" s="26" t="n">
        <v>46173</v>
      </c>
      <c r="B886" s="27" t="n">
        <v>2026</v>
      </c>
      <c r="C886" s="27" t="n">
        <v>5</v>
      </c>
      <c r="D886" s="27" t="s">
        <v>84</v>
      </c>
      <c r="E886" s="27" t="s">
        <v>91</v>
      </c>
      <c r="F886" s="27" t="s">
        <v>107</v>
      </c>
      <c r="G886" s="27" t="s">
        <v>118</v>
      </c>
      <c r="H886" s="28" t="n">
        <v>5</v>
      </c>
      <c r="I886" s="29" t="n">
        <v>1180</v>
      </c>
      <c r="J886" s="29" t="n">
        <v>5900</v>
      </c>
      <c r="K886" s="29" t="n">
        <f aca="false">H886*I886</f>
        <v>5900</v>
      </c>
      <c r="L886" s="29" t="n">
        <f aca="false">IFERROR(INDEX(Cat_Productos!$B$2:$B$6,MATCH(G886,Cat_Productos!$A$2:$A$6,0)),"")</f>
        <v>590</v>
      </c>
      <c r="M886" s="29" t="n">
        <f aca="false">IF(L886="","",H886*L886)</f>
        <v>2950</v>
      </c>
      <c r="N886" s="29" t="n">
        <f aca="false">IF(M886="","",J886-M886)</f>
        <v>2950</v>
      </c>
      <c r="O886" s="30" t="n">
        <f aca="false">IFERROR(N886/J886,0)</f>
        <v>0.5</v>
      </c>
      <c r="P886" s="27"/>
      <c r="Q886" s="27" t="s">
        <v>159</v>
      </c>
      <c r="R886" s="27" t="s">
        <v>154</v>
      </c>
      <c r="S886" s="27" t="n">
        <v>38</v>
      </c>
      <c r="T886" s="27"/>
    </row>
    <row r="887" customFormat="false" ht="15" hidden="false" customHeight="false" outlineLevel="0" collapsed="false">
      <c r="A887" s="26" t="n">
        <v>46173</v>
      </c>
      <c r="B887" s="27" t="n">
        <v>2026</v>
      </c>
      <c r="C887" s="27" t="n">
        <v>5</v>
      </c>
      <c r="D887" s="27" t="s">
        <v>84</v>
      </c>
      <c r="E887" s="27" t="s">
        <v>92</v>
      </c>
      <c r="F887" s="27" t="s">
        <v>103</v>
      </c>
      <c r="G887" s="27" t="s">
        <v>114</v>
      </c>
      <c r="H887" s="28" t="n">
        <v>3</v>
      </c>
      <c r="I887" s="29" t="n">
        <v>24500</v>
      </c>
      <c r="J887" s="29" t="n">
        <v>73500</v>
      </c>
      <c r="K887" s="29" t="n">
        <f aca="false">H887*I887</f>
        <v>73500</v>
      </c>
      <c r="L887" s="29" t="n">
        <f aca="false">IFERROR(INDEX(Cat_Productos!$B$2:$B$6,MATCH(G887,Cat_Productos!$A$2:$A$6,0)),"")</f>
        <v>19200</v>
      </c>
      <c r="M887" s="29" t="n">
        <f aca="false">IF(L887="","",H887*L887)</f>
        <v>57600</v>
      </c>
      <c r="N887" s="29" t="n">
        <f aca="false">IF(M887="","",J887-M887)</f>
        <v>15900</v>
      </c>
      <c r="O887" s="30" t="n">
        <f aca="false">IFERROR(N887/J887,0)</f>
        <v>0.216326530612245</v>
      </c>
      <c r="P887" s="27"/>
      <c r="Q887" s="27" t="s">
        <v>159</v>
      </c>
      <c r="R887" s="27" t="s">
        <v>154</v>
      </c>
      <c r="S887" s="27" t="n">
        <v>76</v>
      </c>
      <c r="T887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1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36" t="s">
        <v>161</v>
      </c>
      <c r="B1" s="37" t="n">
        <v>46173</v>
      </c>
      <c r="C1" s="16" t="s">
        <v>162</v>
      </c>
    </row>
    <row r="3" customFormat="false" ht="23.85" hidden="false" customHeight="false" outlineLevel="0" collapsed="false">
      <c r="A3" s="17" t="s">
        <v>163</v>
      </c>
      <c r="B3" s="17" t="s">
        <v>164</v>
      </c>
      <c r="C3" s="17" t="s">
        <v>75</v>
      </c>
      <c r="D3" s="17" t="s">
        <v>165</v>
      </c>
      <c r="E3" s="17" t="s">
        <v>166</v>
      </c>
      <c r="F3" s="17" t="s">
        <v>122</v>
      </c>
      <c r="G3" s="17" t="s">
        <v>167</v>
      </c>
      <c r="H3" s="17" t="s">
        <v>168</v>
      </c>
      <c r="I3" s="17" t="s">
        <v>120</v>
      </c>
      <c r="J3" s="17" t="s">
        <v>169</v>
      </c>
      <c r="K3" s="17" t="s">
        <v>170</v>
      </c>
      <c r="L3" s="17" t="s">
        <v>171</v>
      </c>
    </row>
    <row r="4" customFormat="false" ht="15" hidden="false" customHeight="false" outlineLevel="0" collapsed="false">
      <c r="A4" s="27" t="s">
        <v>172</v>
      </c>
      <c r="B4" s="27" t="s">
        <v>173</v>
      </c>
      <c r="C4" s="27" t="s">
        <v>82</v>
      </c>
      <c r="D4" s="26" t="n">
        <v>46094</v>
      </c>
      <c r="E4" s="26" t="n">
        <v>46109</v>
      </c>
      <c r="F4" s="29" t="n">
        <v>15200</v>
      </c>
      <c r="G4" s="27" t="s">
        <v>124</v>
      </c>
      <c r="H4" s="28" t="n">
        <f aca="false">IF(G4="Pagado",0,IF(E4="","",MAX(0,$B$1-E4)))</f>
        <v>0</v>
      </c>
      <c r="I4" s="27" t="str">
        <f aca="false">IF(G4="Pagado","Pagado",IF(E4="","Sin fecha de vencimiento",IF(H4&lt;=0,"Por vencer",IF(H4&lt;=30,"1 a 30 dias",IF(H4&lt;=60,"31 a 60 dias",IF(H4&lt;=90,"61 a 90 dias","Mas de 90 dias"))))))</f>
        <v>Pagado</v>
      </c>
      <c r="J4" s="27" t="s">
        <v>107</v>
      </c>
      <c r="K4" s="29" t="n">
        <v>40000</v>
      </c>
      <c r="L4" s="27" t="n">
        <v>7</v>
      </c>
    </row>
    <row r="5" customFormat="false" ht="15" hidden="false" customHeight="false" outlineLevel="0" collapsed="false">
      <c r="A5" s="27" t="s">
        <v>172</v>
      </c>
      <c r="B5" s="27" t="s">
        <v>174</v>
      </c>
      <c r="C5" s="27" t="s">
        <v>82</v>
      </c>
      <c r="D5" s="26" t="n">
        <v>46099</v>
      </c>
      <c r="E5" s="26" t="n">
        <v>46114</v>
      </c>
      <c r="F5" s="29" t="n">
        <v>33400</v>
      </c>
      <c r="G5" s="27" t="s">
        <v>124</v>
      </c>
      <c r="H5" s="28" t="n">
        <f aca="false">IF(G5="Pagado",0,IF(E5="","",MAX(0,$B$1-E5)))</f>
        <v>0</v>
      </c>
      <c r="I5" s="27" t="str">
        <f aca="false">IF(G5="Pagado","Pagado",IF(E5="","Sin fecha de vencimiento",IF(H5&lt;=0,"Por vencer",IF(H5&lt;=30,"1 a 30 dias",IF(H5&lt;=60,"31 a 60 dias",IF(H5&lt;=90,"61 a 90 dias","Mas de 90 dias"))))))</f>
        <v>Pagado</v>
      </c>
      <c r="J5" s="27" t="s">
        <v>107</v>
      </c>
      <c r="K5" s="29" t="n">
        <v>40000</v>
      </c>
      <c r="L5" s="27" t="n">
        <v>7</v>
      </c>
    </row>
    <row r="6" customFormat="false" ht="15" hidden="false" customHeight="false" outlineLevel="0" collapsed="false">
      <c r="A6" s="27" t="s">
        <v>172</v>
      </c>
      <c r="B6" s="27" t="s">
        <v>175</v>
      </c>
      <c r="C6" s="27" t="s">
        <v>82</v>
      </c>
      <c r="D6" s="26" t="n">
        <v>46101</v>
      </c>
      <c r="E6" s="26" t="n">
        <v>46116</v>
      </c>
      <c r="F6" s="29" t="n">
        <v>9800</v>
      </c>
      <c r="G6" s="27" t="s">
        <v>124</v>
      </c>
      <c r="H6" s="28" t="n">
        <f aca="false">IF(G6="Pagado",0,IF(E6="","",MAX(0,$B$1-E6)))</f>
        <v>0</v>
      </c>
      <c r="I6" s="27" t="str">
        <f aca="false">IF(G6="Pagado","Pagado",IF(E6="","Sin fecha de vencimiento",IF(H6&lt;=0,"Por vencer",IF(H6&lt;=30,"1 a 30 dias",IF(H6&lt;=60,"31 a 60 dias",IF(H6&lt;=90,"61 a 90 dias","Mas de 90 dias"))))))</f>
        <v>Pagado</v>
      </c>
      <c r="J6" s="27" t="s">
        <v>107</v>
      </c>
      <c r="K6" s="29" t="n">
        <v>40000</v>
      </c>
      <c r="L6" s="27" t="n">
        <v>7</v>
      </c>
    </row>
    <row r="7" customFormat="false" ht="15" hidden="false" customHeight="false" outlineLevel="0" collapsed="false">
      <c r="A7" s="27" t="s">
        <v>176</v>
      </c>
      <c r="B7" s="27" t="s">
        <v>177</v>
      </c>
      <c r="C7" s="27" t="s">
        <v>82</v>
      </c>
      <c r="D7" s="26" t="n">
        <v>46090</v>
      </c>
      <c r="E7" s="26" t="n">
        <v>46120</v>
      </c>
      <c r="F7" s="29" t="n">
        <v>15200</v>
      </c>
      <c r="G7" s="27" t="s">
        <v>124</v>
      </c>
      <c r="H7" s="28" t="n">
        <f aca="false">IF(G7="Pagado",0,IF(E7="","",MAX(0,$B$1-E7)))</f>
        <v>0</v>
      </c>
      <c r="I7" s="27" t="str">
        <f aca="false">IF(G7="Pagado","Pagado",IF(E7="","Sin fecha de vencimiento",IF(H7&lt;=0,"Por vencer",IF(H7&lt;=30,"1 a 30 dias",IF(H7&lt;=60,"31 a 60 dias",IF(H7&lt;=90,"61 a 90 dias","Mas de 90 dias"))))))</f>
        <v>Pagado</v>
      </c>
      <c r="J7" s="27" t="s">
        <v>105</v>
      </c>
      <c r="K7" s="29" t="n">
        <v>400000</v>
      </c>
      <c r="L7" s="27" t="n">
        <v>30</v>
      </c>
    </row>
    <row r="8" customFormat="false" ht="15" hidden="false" customHeight="false" outlineLevel="0" collapsed="false">
      <c r="A8" s="27" t="s">
        <v>178</v>
      </c>
      <c r="B8" s="27" t="s">
        <v>179</v>
      </c>
      <c r="C8" s="27" t="s">
        <v>83</v>
      </c>
      <c r="D8" s="26" t="n">
        <v>46123</v>
      </c>
      <c r="E8" s="26" t="n">
        <v>46153</v>
      </c>
      <c r="F8" s="29" t="n">
        <v>5600</v>
      </c>
      <c r="G8" s="27" t="s">
        <v>124</v>
      </c>
      <c r="H8" s="28" t="n">
        <f aca="false">IF(G8="Pagado",0,IF(E8="","",MAX(0,$B$1-E8)))</f>
        <v>0</v>
      </c>
      <c r="I8" s="27" t="str">
        <f aca="false">IF(G8="Pagado","Pagado",IF(E8="","Sin fecha de vencimiento",IF(H8&lt;=0,"Por vencer",IF(H8&lt;=30,"1 a 30 dias",IF(H8&lt;=60,"31 a 60 dias",IF(H8&lt;=90,"61 a 90 dias","Mas de 90 dias"))))))</f>
        <v>Pagado</v>
      </c>
      <c r="J8" s="27" t="s">
        <v>104</v>
      </c>
      <c r="K8" s="29" t="n">
        <v>60000</v>
      </c>
      <c r="L8" s="27" t="n">
        <v>15</v>
      </c>
    </row>
    <row r="9" customFormat="false" ht="15" hidden="false" customHeight="false" outlineLevel="0" collapsed="false">
      <c r="A9" s="27" t="s">
        <v>172</v>
      </c>
      <c r="B9" s="27" t="s">
        <v>180</v>
      </c>
      <c r="C9" s="27" t="s">
        <v>84</v>
      </c>
      <c r="D9" s="26" t="n">
        <v>46144</v>
      </c>
      <c r="E9" s="26" t="n">
        <v>46174</v>
      </c>
      <c r="F9" s="29" t="n">
        <v>73500</v>
      </c>
      <c r="G9" s="27" t="s">
        <v>124</v>
      </c>
      <c r="H9" s="28" t="n">
        <f aca="false">IF(G9="Pagado",0,IF(E9="","",MAX(0,$B$1-E9)))</f>
        <v>0</v>
      </c>
      <c r="I9" s="27" t="str">
        <f aca="false">IF(G9="Pagado","Pagado",IF(E9="","Sin fecha de vencimiento",IF(H9&lt;=0,"Por vencer",IF(H9&lt;=30,"1 a 30 dias",IF(H9&lt;=60,"31 a 60 dias",IF(H9&lt;=90,"61 a 90 dias","Mas de 90 dias"))))))</f>
        <v>Pagado</v>
      </c>
      <c r="J9" s="27" t="s">
        <v>107</v>
      </c>
      <c r="K9" s="29" t="n">
        <v>40000</v>
      </c>
      <c r="L9" s="27" t="n">
        <v>7</v>
      </c>
    </row>
    <row r="10" customFormat="false" ht="15" hidden="false" customHeight="false" outlineLevel="0" collapsed="false">
      <c r="A10" s="27" t="s">
        <v>172</v>
      </c>
      <c r="B10" s="27" t="s">
        <v>181</v>
      </c>
      <c r="C10" s="27" t="s">
        <v>84</v>
      </c>
      <c r="D10" s="26" t="n">
        <v>46155</v>
      </c>
      <c r="E10" s="26" t="n">
        <v>46185</v>
      </c>
      <c r="F10" s="29" t="n">
        <v>42000</v>
      </c>
      <c r="G10" s="27" t="s">
        <v>124</v>
      </c>
      <c r="H10" s="28" t="n">
        <f aca="false">IF(G10="Pagado",0,IF(E10="","",MAX(0,$B$1-E10)))</f>
        <v>0</v>
      </c>
      <c r="I10" s="27" t="str">
        <f aca="false">IF(G10="Pagado","Pagado",IF(E10="","Sin fecha de vencimiento",IF(H10&lt;=0,"Por vencer",IF(H10&lt;=30,"1 a 30 dias",IF(H10&lt;=60,"31 a 60 dias",IF(H10&lt;=90,"61 a 90 dias","Mas de 90 dias"))))))</f>
        <v>Pagado</v>
      </c>
      <c r="J10" s="27" t="s">
        <v>107</v>
      </c>
      <c r="K10" s="29" t="n">
        <v>40000</v>
      </c>
      <c r="L10" s="27" t="n">
        <v>7</v>
      </c>
    </row>
    <row r="11" customFormat="false" ht="15" hidden="false" customHeight="false" outlineLevel="0" collapsed="false">
      <c r="A11" s="27" t="s">
        <v>172</v>
      </c>
      <c r="B11" s="27" t="s">
        <v>182</v>
      </c>
      <c r="C11" s="27" t="s">
        <v>80</v>
      </c>
      <c r="D11" s="26"/>
      <c r="E11" s="26"/>
      <c r="F11" s="29" t="n">
        <v>42000</v>
      </c>
      <c r="G11" s="27" t="s">
        <v>124</v>
      </c>
      <c r="H11" s="28" t="n">
        <f aca="false">IF(G11="Pagado",0,IF(E11="","",MAX(0,$B$1-E11)))</f>
        <v>0</v>
      </c>
      <c r="I11" s="27" t="str">
        <f aca="false">IF(G11="Pagado","Pagado",IF(E11="","Sin fecha de vencimiento",IF(H11&lt;=0,"Por vencer",IF(H11&lt;=30,"1 a 30 dias",IF(H11&lt;=60,"31 a 60 dias",IF(H11&lt;=90,"61 a 90 dias","Mas de 90 dias"))))))</f>
        <v>Pagado</v>
      </c>
      <c r="J11" s="27" t="s">
        <v>107</v>
      </c>
      <c r="K11" s="29" t="n">
        <v>40000</v>
      </c>
      <c r="L11" s="27" t="n">
        <v>7</v>
      </c>
    </row>
    <row r="12" customFormat="false" ht="15" hidden="false" customHeight="false" outlineLevel="0" collapsed="false">
      <c r="A12" s="27" t="s">
        <v>172</v>
      </c>
      <c r="B12" s="27" t="s">
        <v>183</v>
      </c>
      <c r="C12" s="27" t="s">
        <v>80</v>
      </c>
      <c r="D12" s="26"/>
      <c r="E12" s="26"/>
      <c r="F12" s="29" t="n">
        <v>56000</v>
      </c>
      <c r="G12" s="27" t="s">
        <v>124</v>
      </c>
      <c r="H12" s="28" t="n">
        <f aca="false">IF(G12="Pagado",0,IF(E12="","",MAX(0,$B$1-E12)))</f>
        <v>0</v>
      </c>
      <c r="I12" s="27" t="str">
        <f aca="false">IF(G12="Pagado","Pagado",IF(E12="","Sin fecha de vencimiento",IF(H12&lt;=0,"Por vencer",IF(H12&lt;=30,"1 a 30 dias",IF(H12&lt;=60,"31 a 60 dias",IF(H12&lt;=90,"61 a 90 dias","Mas de 90 dias"))))))</f>
        <v>Pagado</v>
      </c>
      <c r="J12" s="27" t="s">
        <v>107</v>
      </c>
      <c r="K12" s="29" t="n">
        <v>40000</v>
      </c>
      <c r="L12" s="27" t="n">
        <v>7</v>
      </c>
    </row>
    <row r="13" customFormat="false" ht="15" hidden="false" customHeight="false" outlineLevel="0" collapsed="false">
      <c r="A13" s="27" t="s">
        <v>176</v>
      </c>
      <c r="B13" s="27" t="s">
        <v>184</v>
      </c>
      <c r="C13" s="27" t="s">
        <v>82</v>
      </c>
      <c r="D13" s="26"/>
      <c r="E13" s="26"/>
      <c r="F13" s="29" t="n">
        <v>56000</v>
      </c>
      <c r="G13" s="27" t="s">
        <v>124</v>
      </c>
      <c r="H13" s="28" t="n">
        <f aca="false">IF(G13="Pagado",0,IF(E13="","",MAX(0,$B$1-E13)))</f>
        <v>0</v>
      </c>
      <c r="I13" s="27" t="str">
        <f aca="false">IF(G13="Pagado","Pagado",IF(E13="","Sin fecha de vencimiento",IF(H13&lt;=0,"Por vencer",IF(H13&lt;=30,"1 a 30 dias",IF(H13&lt;=60,"31 a 60 dias",IF(H13&lt;=90,"61 a 90 dias","Mas de 90 dias"))))))</f>
        <v>Pagado</v>
      </c>
      <c r="J13" s="27" t="s">
        <v>105</v>
      </c>
      <c r="K13" s="29" t="n">
        <v>400000</v>
      </c>
      <c r="L13" s="27" t="n">
        <v>30</v>
      </c>
    </row>
    <row r="14" customFormat="false" ht="15" hidden="false" customHeight="false" outlineLevel="0" collapsed="false">
      <c r="A14" s="27" t="s">
        <v>185</v>
      </c>
      <c r="B14" s="27" t="s">
        <v>186</v>
      </c>
      <c r="C14" s="27" t="s">
        <v>82</v>
      </c>
      <c r="D14" s="26"/>
      <c r="E14" s="26"/>
      <c r="F14" s="29" t="n">
        <v>9800</v>
      </c>
      <c r="G14" s="27" t="s">
        <v>124</v>
      </c>
      <c r="H14" s="28" t="n">
        <f aca="false">IF(G14="Pagado",0,IF(E14="","",MAX(0,$B$1-E14)))</f>
        <v>0</v>
      </c>
      <c r="I14" s="27" t="str">
        <f aca="false">IF(G14="Pagado","Pagado",IF(E14="","Sin fecha de vencimiento",IF(H14&lt;=0,"Por vencer",IF(H14&lt;=30,"1 a 30 dias",IF(H14&lt;=60,"31 a 60 dias",IF(H14&lt;=90,"61 a 90 dias","Mas de 90 dias"))))))</f>
        <v>Pagado</v>
      </c>
      <c r="J14" s="27" t="s">
        <v>103</v>
      </c>
      <c r="K14" s="29" t="n">
        <v>80000</v>
      </c>
      <c r="L14" s="27" t="n">
        <v>30</v>
      </c>
    </row>
    <row r="15" customFormat="false" ht="15" hidden="false" customHeight="false" outlineLevel="0" collapsed="false">
      <c r="A15" s="27" t="s">
        <v>187</v>
      </c>
      <c r="B15" s="27" t="s">
        <v>188</v>
      </c>
      <c r="C15" s="27" t="s">
        <v>80</v>
      </c>
      <c r="D15" s="26"/>
      <c r="E15" s="26"/>
      <c r="F15" s="29" t="n">
        <v>128000</v>
      </c>
      <c r="G15" s="27" t="s">
        <v>124</v>
      </c>
      <c r="H15" s="28" t="n">
        <f aca="false">IF(G15="Pagado",0,IF(E15="","",MAX(0,$B$1-E15)))</f>
        <v>0</v>
      </c>
      <c r="I15" s="27" t="str">
        <f aca="false">IF(G15="Pagado","Pagado",IF(E15="","Sin fecha de vencimiento",IF(H15&lt;=0,"Por vencer",IF(H15&lt;=30,"1 a 30 dias",IF(H15&lt;=60,"31 a 60 dias",IF(H15&lt;=90,"61 a 90 dias","Mas de 90 dias"))))))</f>
        <v>Pagado</v>
      </c>
      <c r="J15" s="27" t="s">
        <v>107</v>
      </c>
      <c r="K15" s="29" t="n">
        <v>120000</v>
      </c>
      <c r="L15" s="27" t="n">
        <v>45</v>
      </c>
    </row>
    <row r="16" customFormat="false" ht="15" hidden="false" customHeight="false" outlineLevel="0" collapsed="false">
      <c r="A16" s="27" t="s">
        <v>178</v>
      </c>
      <c r="B16" s="27" t="s">
        <v>189</v>
      </c>
      <c r="C16" s="27" t="s">
        <v>80</v>
      </c>
      <c r="D16" s="26"/>
      <c r="E16" s="26"/>
      <c r="F16" s="29" t="n">
        <v>21000</v>
      </c>
      <c r="G16" s="27" t="s">
        <v>124</v>
      </c>
      <c r="H16" s="28" t="n">
        <f aca="false">IF(G16="Pagado",0,IF(E16="","",MAX(0,$B$1-E16)))</f>
        <v>0</v>
      </c>
      <c r="I16" s="27" t="str">
        <f aca="false">IF(G16="Pagado","Pagado",IF(E16="","Sin fecha de vencimiento",IF(H16&lt;=0,"Por vencer",IF(H16&lt;=30,"1 a 30 dias",IF(H16&lt;=60,"31 a 60 dias",IF(H16&lt;=90,"61 a 90 dias","Mas de 90 dias"))))))</f>
        <v>Pagado</v>
      </c>
      <c r="J16" s="27" t="s">
        <v>104</v>
      </c>
      <c r="K16" s="29" t="n">
        <v>60000</v>
      </c>
      <c r="L16" s="27" t="n">
        <v>15</v>
      </c>
    </row>
    <row r="17" customFormat="false" ht="15" hidden="false" customHeight="false" outlineLevel="0" collapsed="false">
      <c r="A17" s="27" t="s">
        <v>187</v>
      </c>
      <c r="B17" s="27" t="s">
        <v>190</v>
      </c>
      <c r="C17" s="27" t="s">
        <v>80</v>
      </c>
      <c r="D17" s="26"/>
      <c r="E17" s="26"/>
      <c r="F17" s="29" t="n">
        <v>21000</v>
      </c>
      <c r="G17" s="27" t="s">
        <v>124</v>
      </c>
      <c r="H17" s="28" t="n">
        <f aca="false">IF(G17="Pagado",0,IF(E17="","",MAX(0,$B$1-E17)))</f>
        <v>0</v>
      </c>
      <c r="I17" s="27" t="str">
        <f aca="false">IF(G17="Pagado","Pagado",IF(E17="","Sin fecha de vencimiento",IF(H17&lt;=0,"Por vencer",IF(H17&lt;=30,"1 a 30 dias",IF(H17&lt;=60,"31 a 60 dias",IF(H17&lt;=90,"61 a 90 dias","Mas de 90 dias"))))))</f>
        <v>Pagado</v>
      </c>
      <c r="J17" s="27" t="s">
        <v>107</v>
      </c>
      <c r="K17" s="29" t="n">
        <v>120000</v>
      </c>
      <c r="L17" s="27" t="n">
        <v>45</v>
      </c>
    </row>
    <row r="18" customFormat="false" ht="15" hidden="false" customHeight="false" outlineLevel="0" collapsed="false">
      <c r="A18" s="27" t="s">
        <v>191</v>
      </c>
      <c r="B18" s="27" t="s">
        <v>192</v>
      </c>
      <c r="C18" s="27" t="s">
        <v>80</v>
      </c>
      <c r="D18" s="26"/>
      <c r="E18" s="26"/>
      <c r="F18" s="29" t="n">
        <v>33400</v>
      </c>
      <c r="G18" s="27" t="s">
        <v>124</v>
      </c>
      <c r="H18" s="28" t="n">
        <f aca="false">IF(G18="Pagado",0,IF(E18="","",MAX(0,$B$1-E18)))</f>
        <v>0</v>
      </c>
      <c r="I18" s="27" t="str">
        <f aca="false">IF(G18="Pagado","Pagado",IF(E18="","Sin fecha de vencimiento",IF(H18&lt;=0,"Por vencer",IF(H18&lt;=30,"1 a 30 dias",IF(H18&lt;=60,"31 a 60 dias",IF(H18&lt;=90,"61 a 90 dias","Mas de 90 dias"))))))</f>
        <v>Pagado</v>
      </c>
      <c r="J18" s="27" t="s">
        <v>108</v>
      </c>
      <c r="K18" s="29" t="n">
        <v>45000</v>
      </c>
      <c r="L18" s="27" t="n">
        <v>15</v>
      </c>
    </row>
    <row r="19" customFormat="false" ht="15" hidden="false" customHeight="false" outlineLevel="0" collapsed="false">
      <c r="A19" s="27" t="s">
        <v>193</v>
      </c>
      <c r="B19" s="27" t="s">
        <v>194</v>
      </c>
      <c r="C19" s="27" t="s">
        <v>80</v>
      </c>
      <c r="D19" s="26"/>
      <c r="E19" s="26"/>
      <c r="F19" s="29" t="n">
        <v>5600</v>
      </c>
      <c r="G19" s="27" t="s">
        <v>124</v>
      </c>
      <c r="H19" s="28" t="n">
        <f aca="false">IF(G19="Pagado",0,IF(E19="","",MAX(0,$B$1-E19)))</f>
        <v>0</v>
      </c>
      <c r="I19" s="27" t="str">
        <f aca="false">IF(G19="Pagado","Pagado",IF(E19="","Sin fecha de vencimiento",IF(H19&lt;=0,"Por vencer",IF(H19&lt;=30,"1 a 30 dias",IF(H19&lt;=60,"31 a 60 dias",IF(H19&lt;=90,"61 a 90 dias","Mas de 90 dias"))))))</f>
        <v>Pagado</v>
      </c>
      <c r="J19" s="27" t="s">
        <v>108</v>
      </c>
      <c r="K19" s="29" t="n">
        <v>100000</v>
      </c>
      <c r="L19" s="27" t="n">
        <v>15</v>
      </c>
    </row>
    <row r="20" customFormat="false" ht="15" hidden="false" customHeight="false" outlineLevel="0" collapsed="false">
      <c r="A20" s="27" t="s">
        <v>191</v>
      </c>
      <c r="B20" s="27" t="s">
        <v>195</v>
      </c>
      <c r="C20" s="27" t="s">
        <v>81</v>
      </c>
      <c r="D20" s="26"/>
      <c r="E20" s="26"/>
      <c r="F20" s="29" t="n">
        <v>42000</v>
      </c>
      <c r="G20" s="27" t="s">
        <v>124</v>
      </c>
      <c r="H20" s="28" t="n">
        <f aca="false">IF(G20="Pagado",0,IF(E20="","",MAX(0,$B$1-E20)))</f>
        <v>0</v>
      </c>
      <c r="I20" s="27" t="str">
        <f aca="false">IF(G20="Pagado","Pagado",IF(E20="","Sin fecha de vencimiento",IF(H20&lt;=0,"Por vencer",IF(H20&lt;=30,"1 a 30 dias",IF(H20&lt;=60,"31 a 60 dias",IF(H20&lt;=90,"61 a 90 dias","Mas de 90 dias"))))))</f>
        <v>Pagado</v>
      </c>
      <c r="J20" s="27" t="s">
        <v>108</v>
      </c>
      <c r="K20" s="29" t="n">
        <v>45000</v>
      </c>
      <c r="L20" s="27" t="n">
        <v>15</v>
      </c>
    </row>
    <row r="21" customFormat="false" ht="15" hidden="false" customHeight="false" outlineLevel="0" collapsed="false">
      <c r="A21" s="27" t="s">
        <v>185</v>
      </c>
      <c r="B21" s="27" t="s">
        <v>196</v>
      </c>
      <c r="C21" s="27" t="s">
        <v>81</v>
      </c>
      <c r="D21" s="26"/>
      <c r="E21" s="26"/>
      <c r="F21" s="29" t="n">
        <v>8500</v>
      </c>
      <c r="G21" s="27" t="s">
        <v>124</v>
      </c>
      <c r="H21" s="28" t="n">
        <f aca="false">IF(G21="Pagado",0,IF(E21="","",MAX(0,$B$1-E21)))</f>
        <v>0</v>
      </c>
      <c r="I21" s="27" t="str">
        <f aca="false">IF(G21="Pagado","Pagado",IF(E21="","Sin fecha de vencimiento",IF(H21&lt;=0,"Por vencer",IF(H21&lt;=30,"1 a 30 dias",IF(H21&lt;=60,"31 a 60 dias",IF(H21&lt;=90,"61 a 90 dias","Mas de 90 dias"))))))</f>
        <v>Pagado</v>
      </c>
      <c r="J21" s="27" t="s">
        <v>103</v>
      </c>
      <c r="K21" s="29" t="n">
        <v>80000</v>
      </c>
      <c r="L21" s="27" t="n">
        <v>30</v>
      </c>
    </row>
    <row r="22" customFormat="false" ht="15" hidden="false" customHeight="false" outlineLevel="0" collapsed="false">
      <c r="A22" s="27" t="s">
        <v>197</v>
      </c>
      <c r="B22" s="27" t="s">
        <v>198</v>
      </c>
      <c r="C22" s="27" t="s">
        <v>81</v>
      </c>
      <c r="D22" s="26"/>
      <c r="E22" s="26"/>
      <c r="F22" s="29" t="n">
        <v>5600</v>
      </c>
      <c r="G22" s="27" t="s">
        <v>124</v>
      </c>
      <c r="H22" s="28" t="n">
        <f aca="false">IF(G22="Pagado",0,IF(E22="","",MAX(0,$B$1-E22)))</f>
        <v>0</v>
      </c>
      <c r="I22" s="27" t="str">
        <f aca="false">IF(G22="Pagado","Pagado",IF(E22="","Sin fecha de vencimiento",IF(H22&lt;=0,"Por vencer",IF(H22&lt;=30,"1 a 30 dias",IF(H22&lt;=60,"31 a 60 dias",IF(H22&lt;=90,"61 a 90 dias","Mas de 90 dias"))))))</f>
        <v>Pagado</v>
      </c>
      <c r="J22" s="27" t="s">
        <v>103</v>
      </c>
      <c r="K22" s="29" t="n">
        <v>90000</v>
      </c>
      <c r="L22" s="27" t="n">
        <v>30</v>
      </c>
    </row>
    <row r="23" customFormat="false" ht="15" hidden="false" customHeight="false" outlineLevel="0" collapsed="false">
      <c r="A23" s="27" t="s">
        <v>199</v>
      </c>
      <c r="B23" s="27" t="s">
        <v>200</v>
      </c>
      <c r="C23" s="27" t="s">
        <v>81</v>
      </c>
      <c r="D23" s="26"/>
      <c r="E23" s="26"/>
      <c r="F23" s="29" t="n">
        <v>33400</v>
      </c>
      <c r="G23" s="27" t="s">
        <v>124</v>
      </c>
      <c r="H23" s="28" t="n">
        <f aca="false">IF(G23="Pagado",0,IF(E23="","",MAX(0,$B$1-E23)))</f>
        <v>0</v>
      </c>
      <c r="I23" s="27" t="str">
        <f aca="false">IF(G23="Pagado","Pagado",IF(E23="","Sin fecha de vencimiento",IF(H23&lt;=0,"Por vencer",IF(H23&lt;=30,"1 a 30 dias",IF(H23&lt;=60,"31 a 60 dias",IF(H23&lt;=90,"61 a 90 dias","Mas de 90 dias"))))))</f>
        <v>Pagado</v>
      </c>
      <c r="J23" s="27" t="s">
        <v>107</v>
      </c>
      <c r="K23" s="29" t="n">
        <v>130000</v>
      </c>
      <c r="L23" s="27" t="n">
        <v>30</v>
      </c>
    </row>
    <row r="24" customFormat="false" ht="15" hidden="false" customHeight="false" outlineLevel="0" collapsed="false">
      <c r="A24" s="27" t="s">
        <v>185</v>
      </c>
      <c r="B24" s="27" t="s">
        <v>201</v>
      </c>
      <c r="C24" s="27" t="s">
        <v>81</v>
      </c>
      <c r="D24" s="26"/>
      <c r="E24" s="26"/>
      <c r="F24" s="29" t="n">
        <v>21000</v>
      </c>
      <c r="G24" s="27" t="s">
        <v>124</v>
      </c>
      <c r="H24" s="28" t="n">
        <f aca="false">IF(G24="Pagado",0,IF(E24="","",MAX(0,$B$1-E24)))</f>
        <v>0</v>
      </c>
      <c r="I24" s="27" t="str">
        <f aca="false">IF(G24="Pagado","Pagado",IF(E24="","Sin fecha de vencimiento",IF(H24&lt;=0,"Por vencer",IF(H24&lt;=30,"1 a 30 dias",IF(H24&lt;=60,"31 a 60 dias",IF(H24&lt;=90,"61 a 90 dias","Mas de 90 dias"))))))</f>
        <v>Pagado</v>
      </c>
      <c r="J24" s="27" t="s">
        <v>103</v>
      </c>
      <c r="K24" s="29" t="n">
        <v>80000</v>
      </c>
      <c r="L24" s="27" t="n">
        <v>30</v>
      </c>
    </row>
    <row r="25" customFormat="false" ht="15" hidden="false" customHeight="false" outlineLevel="0" collapsed="false">
      <c r="A25" s="27" t="s">
        <v>193</v>
      </c>
      <c r="B25" s="27" t="s">
        <v>202</v>
      </c>
      <c r="C25" s="27" t="s">
        <v>81</v>
      </c>
      <c r="D25" s="26"/>
      <c r="E25" s="26"/>
      <c r="F25" s="29" t="n">
        <v>15200</v>
      </c>
      <c r="G25" s="27" t="s">
        <v>124</v>
      </c>
      <c r="H25" s="28" t="n">
        <f aca="false">IF(G25="Pagado",0,IF(E25="","",MAX(0,$B$1-E25)))</f>
        <v>0</v>
      </c>
      <c r="I25" s="27" t="str">
        <f aca="false">IF(G25="Pagado","Pagado",IF(E25="","Sin fecha de vencimiento",IF(H25&lt;=0,"Por vencer",IF(H25&lt;=30,"1 a 30 dias",IF(H25&lt;=60,"31 a 60 dias",IF(H25&lt;=90,"61 a 90 dias","Mas de 90 dias"))))))</f>
        <v>Pagado</v>
      </c>
      <c r="J25" s="27" t="s">
        <v>108</v>
      </c>
      <c r="K25" s="29" t="n">
        <v>100000</v>
      </c>
      <c r="L25" s="27" t="n">
        <v>15</v>
      </c>
    </row>
    <row r="26" customFormat="false" ht="15" hidden="false" customHeight="false" outlineLevel="0" collapsed="false">
      <c r="A26" s="27" t="s">
        <v>191</v>
      </c>
      <c r="B26" s="27" t="s">
        <v>203</v>
      </c>
      <c r="C26" s="27" t="s">
        <v>81</v>
      </c>
      <c r="D26" s="26"/>
      <c r="E26" s="26"/>
      <c r="F26" s="29" t="n">
        <v>9800</v>
      </c>
      <c r="G26" s="27" t="s">
        <v>124</v>
      </c>
      <c r="H26" s="28" t="n">
        <f aca="false">IF(G26="Pagado",0,IF(E26="","",MAX(0,$B$1-E26)))</f>
        <v>0</v>
      </c>
      <c r="I26" s="27" t="str">
        <f aca="false">IF(G26="Pagado","Pagado",IF(E26="","Sin fecha de vencimiento",IF(H26&lt;=0,"Por vencer",IF(H26&lt;=30,"1 a 30 dias",IF(H26&lt;=60,"31 a 60 dias",IF(H26&lt;=90,"61 a 90 dias","Mas de 90 dias"))))))</f>
        <v>Pagado</v>
      </c>
      <c r="J26" s="27" t="s">
        <v>108</v>
      </c>
      <c r="K26" s="29" t="n">
        <v>45000</v>
      </c>
      <c r="L26" s="27" t="n">
        <v>15</v>
      </c>
    </row>
    <row r="27" customFormat="false" ht="15" hidden="false" customHeight="false" outlineLevel="0" collapsed="false">
      <c r="A27" s="27" t="s">
        <v>191</v>
      </c>
      <c r="B27" s="27" t="s">
        <v>204</v>
      </c>
      <c r="C27" s="27" t="s">
        <v>82</v>
      </c>
      <c r="D27" s="26"/>
      <c r="E27" s="26"/>
      <c r="F27" s="29" t="n">
        <v>73500</v>
      </c>
      <c r="G27" s="27" t="s">
        <v>124</v>
      </c>
      <c r="H27" s="28" t="n">
        <f aca="false">IF(G27="Pagado",0,IF(E27="","",MAX(0,$B$1-E27)))</f>
        <v>0</v>
      </c>
      <c r="I27" s="27" t="str">
        <f aca="false">IF(G27="Pagado","Pagado",IF(E27="","Sin fecha de vencimiento",IF(H27&lt;=0,"Por vencer",IF(H27&lt;=30,"1 a 30 dias",IF(H27&lt;=60,"31 a 60 dias",IF(H27&lt;=90,"61 a 90 dias","Mas de 90 dias"))))))</f>
        <v>Pagado</v>
      </c>
      <c r="J27" s="27" t="s">
        <v>108</v>
      </c>
      <c r="K27" s="29" t="n">
        <v>45000</v>
      </c>
      <c r="L27" s="27" t="n">
        <v>15</v>
      </c>
    </row>
    <row r="28" customFormat="false" ht="15" hidden="false" customHeight="false" outlineLevel="0" collapsed="false">
      <c r="A28" s="27" t="s">
        <v>193</v>
      </c>
      <c r="B28" s="27" t="s">
        <v>205</v>
      </c>
      <c r="C28" s="27" t="s">
        <v>82</v>
      </c>
      <c r="D28" s="26"/>
      <c r="E28" s="26"/>
      <c r="F28" s="29" t="n">
        <v>128000</v>
      </c>
      <c r="G28" s="27" t="s">
        <v>124</v>
      </c>
      <c r="H28" s="28" t="n">
        <f aca="false">IF(G28="Pagado",0,IF(E28="","",MAX(0,$B$1-E28)))</f>
        <v>0</v>
      </c>
      <c r="I28" s="27" t="str">
        <f aca="false">IF(G28="Pagado","Pagado",IF(E28="","Sin fecha de vencimiento",IF(H28&lt;=0,"Por vencer",IF(H28&lt;=30,"1 a 30 dias",IF(H28&lt;=60,"31 a 60 dias",IF(H28&lt;=90,"61 a 90 dias","Mas de 90 dias"))))))</f>
        <v>Pagado</v>
      </c>
      <c r="J28" s="27" t="s">
        <v>108</v>
      </c>
      <c r="K28" s="29" t="n">
        <v>100000</v>
      </c>
      <c r="L28" s="27" t="n">
        <v>15</v>
      </c>
    </row>
    <row r="29" customFormat="false" ht="15" hidden="false" customHeight="false" outlineLevel="0" collapsed="false">
      <c r="A29" s="27" t="s">
        <v>185</v>
      </c>
      <c r="B29" s="27" t="s">
        <v>206</v>
      </c>
      <c r="C29" s="27" t="s">
        <v>82</v>
      </c>
      <c r="D29" s="26"/>
      <c r="E29" s="26"/>
      <c r="F29" s="29" t="n">
        <v>9800</v>
      </c>
      <c r="G29" s="27" t="s">
        <v>124</v>
      </c>
      <c r="H29" s="28" t="n">
        <f aca="false">IF(G29="Pagado",0,IF(E29="","",MAX(0,$B$1-E29)))</f>
        <v>0</v>
      </c>
      <c r="I29" s="27" t="str">
        <f aca="false">IF(G29="Pagado","Pagado",IF(E29="","Sin fecha de vencimiento",IF(H29&lt;=0,"Por vencer",IF(H29&lt;=30,"1 a 30 dias",IF(H29&lt;=60,"31 a 60 dias",IF(H29&lt;=90,"61 a 90 dias","Mas de 90 dias"))))))</f>
        <v>Pagado</v>
      </c>
      <c r="J29" s="27" t="s">
        <v>103</v>
      </c>
      <c r="K29" s="29" t="n">
        <v>80000</v>
      </c>
      <c r="L29" s="27" t="n">
        <v>30</v>
      </c>
    </row>
    <row r="30" customFormat="false" ht="15" hidden="false" customHeight="false" outlineLevel="0" collapsed="false">
      <c r="A30" s="27" t="s">
        <v>207</v>
      </c>
      <c r="B30" s="27" t="s">
        <v>208</v>
      </c>
      <c r="C30" s="27" t="s">
        <v>82</v>
      </c>
      <c r="D30" s="26"/>
      <c r="E30" s="26"/>
      <c r="F30" s="29" t="n">
        <v>56000</v>
      </c>
      <c r="G30" s="27" t="s">
        <v>124</v>
      </c>
      <c r="H30" s="28" t="n">
        <f aca="false">IF(G30="Pagado",0,IF(E30="","",MAX(0,$B$1-E30)))</f>
        <v>0</v>
      </c>
      <c r="I30" s="27" t="str">
        <f aca="false">IF(G30="Pagado","Pagado",IF(E30="","Sin fecha de vencimiento",IF(H30&lt;=0,"Por vencer",IF(H30&lt;=30,"1 a 30 dias",IF(H30&lt;=60,"31 a 60 dias",IF(H30&lt;=90,"61 a 90 dias","Mas de 90 dias"))))))</f>
        <v>Pagado</v>
      </c>
      <c r="J30" s="27" t="s">
        <v>104</v>
      </c>
      <c r="K30" s="29" t="n">
        <v>180000</v>
      </c>
      <c r="L30" s="27" t="n">
        <v>30</v>
      </c>
    </row>
    <row r="31" customFormat="false" ht="15" hidden="false" customHeight="false" outlineLevel="0" collapsed="false">
      <c r="A31" s="27" t="s">
        <v>176</v>
      </c>
      <c r="B31" s="27" t="s">
        <v>209</v>
      </c>
      <c r="C31" s="27" t="s">
        <v>82</v>
      </c>
      <c r="D31" s="26"/>
      <c r="E31" s="26"/>
      <c r="F31" s="29" t="n">
        <v>15200</v>
      </c>
      <c r="G31" s="27" t="s">
        <v>124</v>
      </c>
      <c r="H31" s="28" t="n">
        <f aca="false">IF(G31="Pagado",0,IF(E31="","",MAX(0,$B$1-E31)))</f>
        <v>0</v>
      </c>
      <c r="I31" s="27" t="str">
        <f aca="false">IF(G31="Pagado","Pagado",IF(E31="","Sin fecha de vencimiento",IF(H31&lt;=0,"Por vencer",IF(H31&lt;=30,"1 a 30 dias",IF(H31&lt;=60,"31 a 60 dias",IF(H31&lt;=90,"61 a 90 dias","Mas de 90 dias"))))))</f>
        <v>Pagado</v>
      </c>
      <c r="J31" s="27" t="s">
        <v>105</v>
      </c>
      <c r="K31" s="29" t="n">
        <v>400000</v>
      </c>
      <c r="L31" s="27" t="n">
        <v>30</v>
      </c>
    </row>
    <row r="32" customFormat="false" ht="15" hidden="false" customHeight="false" outlineLevel="0" collapsed="false">
      <c r="A32" s="27" t="s">
        <v>176</v>
      </c>
      <c r="B32" s="27" t="s">
        <v>210</v>
      </c>
      <c r="C32" s="27" t="s">
        <v>82</v>
      </c>
      <c r="D32" s="26"/>
      <c r="E32" s="26"/>
      <c r="F32" s="29" t="n">
        <v>5600</v>
      </c>
      <c r="G32" s="27" t="s">
        <v>124</v>
      </c>
      <c r="H32" s="28" t="n">
        <f aca="false">IF(G32="Pagado",0,IF(E32="","",MAX(0,$B$1-E32)))</f>
        <v>0</v>
      </c>
      <c r="I32" s="27" t="str">
        <f aca="false">IF(G32="Pagado","Pagado",IF(E32="","Sin fecha de vencimiento",IF(H32&lt;=0,"Por vencer",IF(H32&lt;=30,"1 a 30 dias",IF(H32&lt;=60,"31 a 60 dias",IF(H32&lt;=90,"61 a 90 dias","Mas de 90 dias"))))))</f>
        <v>Pagado</v>
      </c>
      <c r="J32" s="27" t="s">
        <v>105</v>
      </c>
      <c r="K32" s="29" t="n">
        <v>400000</v>
      </c>
      <c r="L32" s="27" t="n">
        <v>30</v>
      </c>
    </row>
    <row r="33" customFormat="false" ht="15" hidden="false" customHeight="false" outlineLevel="0" collapsed="false">
      <c r="A33" s="27" t="s">
        <v>211</v>
      </c>
      <c r="B33" s="27" t="s">
        <v>212</v>
      </c>
      <c r="C33" s="27" t="s">
        <v>82</v>
      </c>
      <c r="D33" s="26" t="n">
        <v>46083</v>
      </c>
      <c r="E33" s="26" t="n">
        <v>46113</v>
      </c>
      <c r="F33" s="29" t="n">
        <v>42000</v>
      </c>
      <c r="G33" s="27" t="s">
        <v>213</v>
      </c>
      <c r="H33" s="28" t="n">
        <f aca="false">IF(G33="Pagado",0,IF(E33="","",MAX(0,$B$1-E33)))</f>
        <v>60</v>
      </c>
      <c r="I33" s="27" t="str">
        <f aca="false">IF(G33="Pagado","Pagado",IF(E33="","Sin fecha de vencimiento",IF(H33&lt;=0,"Por vencer",IF(H33&lt;=30,"1 a 30 dias",IF(H33&lt;=60,"31 a 60 dias",IF(H33&lt;=90,"61 a 90 dias","Mas de 90 dias"))))))</f>
        <v>31 a 60 dias</v>
      </c>
      <c r="J33" s="27" t="s">
        <v>105</v>
      </c>
      <c r="K33" s="29" t="n">
        <v>150000</v>
      </c>
      <c r="L33" s="27" t="n">
        <v>30</v>
      </c>
    </row>
    <row r="34" customFormat="false" ht="15" hidden="false" customHeight="false" outlineLevel="0" collapsed="false">
      <c r="A34" s="27" t="s">
        <v>214</v>
      </c>
      <c r="B34" s="27" t="s">
        <v>215</v>
      </c>
      <c r="C34" s="27" t="s">
        <v>82</v>
      </c>
      <c r="D34" s="26" t="n">
        <v>46099</v>
      </c>
      <c r="E34" s="26" t="n">
        <v>46114</v>
      </c>
      <c r="F34" s="29" t="n">
        <v>33400</v>
      </c>
      <c r="G34" s="27" t="s">
        <v>213</v>
      </c>
      <c r="H34" s="28" t="n">
        <f aca="false">IF(G34="Pagado",0,IF(E34="","",MAX(0,$B$1-E34)))</f>
        <v>59</v>
      </c>
      <c r="I34" s="27" t="str">
        <f aca="false">IF(G34="Pagado","Pagado",IF(E34="","Sin fecha de vencimiento",IF(H34&lt;=0,"Por vencer",IF(H34&lt;=30,"1 a 30 dias",IF(H34&lt;=60,"31 a 60 dias",IF(H34&lt;=90,"61 a 90 dias","Mas de 90 dias"))))))</f>
        <v>31 a 60 dias</v>
      </c>
      <c r="J34" s="27" t="s">
        <v>106</v>
      </c>
      <c r="K34" s="29" t="n">
        <v>200000</v>
      </c>
      <c r="L34" s="27" t="n">
        <v>45</v>
      </c>
    </row>
    <row r="35" customFormat="false" ht="15" hidden="false" customHeight="false" outlineLevel="0" collapsed="false">
      <c r="A35" s="27" t="s">
        <v>187</v>
      </c>
      <c r="B35" s="27" t="s">
        <v>216</v>
      </c>
      <c r="C35" s="27" t="s">
        <v>82</v>
      </c>
      <c r="D35" s="26" t="n">
        <v>46097</v>
      </c>
      <c r="E35" s="26" t="n">
        <v>46117</v>
      </c>
      <c r="F35" s="29" t="n">
        <v>73500</v>
      </c>
      <c r="G35" s="27" t="s">
        <v>213</v>
      </c>
      <c r="H35" s="28" t="n">
        <f aca="false">IF(G35="Pagado",0,IF(E35="","",MAX(0,$B$1-E35)))</f>
        <v>56</v>
      </c>
      <c r="I35" s="27" t="str">
        <f aca="false">IF(G35="Pagado","Pagado",IF(E35="","Sin fecha de vencimiento",IF(H35&lt;=0,"Por vencer",IF(H35&lt;=30,"1 a 30 dias",IF(H35&lt;=60,"31 a 60 dias",IF(H35&lt;=90,"61 a 90 dias","Mas de 90 dias"))))))</f>
        <v>31 a 60 dias</v>
      </c>
      <c r="J35" s="27" t="s">
        <v>107</v>
      </c>
      <c r="K35" s="29" t="n">
        <v>120000</v>
      </c>
      <c r="L35" s="27" t="n">
        <v>45</v>
      </c>
    </row>
    <row r="36" customFormat="false" ht="15" hidden="false" customHeight="false" outlineLevel="0" collapsed="false">
      <c r="A36" s="27" t="s">
        <v>197</v>
      </c>
      <c r="B36" s="27" t="s">
        <v>217</v>
      </c>
      <c r="C36" s="27" t="s">
        <v>82</v>
      </c>
      <c r="D36" s="26" t="n">
        <v>46087</v>
      </c>
      <c r="E36" s="26" t="n">
        <v>46117</v>
      </c>
      <c r="F36" s="29" t="n">
        <v>21000</v>
      </c>
      <c r="G36" s="27" t="s">
        <v>213</v>
      </c>
      <c r="H36" s="28" t="n">
        <f aca="false">IF(G36="Pagado",0,IF(E36="","",MAX(0,$B$1-E36)))</f>
        <v>56</v>
      </c>
      <c r="I36" s="27" t="str">
        <f aca="false">IF(G36="Pagado","Pagado",IF(E36="","Sin fecha de vencimiento",IF(H36&lt;=0,"Por vencer",IF(H36&lt;=30,"1 a 30 dias",IF(H36&lt;=60,"31 a 60 dias",IF(H36&lt;=90,"61 a 90 dias","Mas de 90 dias"))))))</f>
        <v>31 a 60 dias</v>
      </c>
      <c r="J36" s="27" t="s">
        <v>103</v>
      </c>
      <c r="K36" s="29" t="n">
        <v>90000</v>
      </c>
      <c r="L36" s="27" t="n">
        <v>30</v>
      </c>
    </row>
    <row r="37" customFormat="false" ht="15" hidden="false" customHeight="false" outlineLevel="0" collapsed="false">
      <c r="A37" s="27" t="s">
        <v>185</v>
      </c>
      <c r="B37" s="27" t="s">
        <v>218</v>
      </c>
      <c r="C37" s="27" t="s">
        <v>82</v>
      </c>
      <c r="D37" s="26" t="n">
        <v>46089</v>
      </c>
      <c r="E37" s="26" t="n">
        <v>46119</v>
      </c>
      <c r="F37" s="29" t="n">
        <v>8500</v>
      </c>
      <c r="G37" s="27" t="s">
        <v>213</v>
      </c>
      <c r="H37" s="28" t="n">
        <f aca="false">IF(G37="Pagado",0,IF(E37="","",MAX(0,$B$1-E37)))</f>
        <v>54</v>
      </c>
      <c r="I37" s="27" t="str">
        <f aca="false">IF(G37="Pagado","Pagado",IF(E37="","Sin fecha de vencimiento",IF(H37&lt;=0,"Por vencer",IF(H37&lt;=30,"1 a 30 dias",IF(H37&lt;=60,"31 a 60 dias",IF(H37&lt;=90,"61 a 90 dias","Mas de 90 dias"))))))</f>
        <v>31 a 60 dias</v>
      </c>
      <c r="J37" s="27" t="s">
        <v>103</v>
      </c>
      <c r="K37" s="29" t="n">
        <v>80000</v>
      </c>
      <c r="L37" s="27" t="n">
        <v>30</v>
      </c>
    </row>
    <row r="38" customFormat="false" ht="15" hidden="false" customHeight="false" outlineLevel="0" collapsed="false">
      <c r="A38" s="27" t="s">
        <v>176</v>
      </c>
      <c r="B38" s="27" t="s">
        <v>219</v>
      </c>
      <c r="C38" s="27" t="s">
        <v>83</v>
      </c>
      <c r="D38" s="26" t="n">
        <v>46126</v>
      </c>
      <c r="E38" s="26" t="n">
        <v>46132</v>
      </c>
      <c r="F38" s="29" t="n">
        <v>128000</v>
      </c>
      <c r="G38" s="27" t="s">
        <v>213</v>
      </c>
      <c r="H38" s="28" t="n">
        <f aca="false">IF(G38="Pagado",0,IF(E38="","",MAX(0,$B$1-E38)))</f>
        <v>41</v>
      </c>
      <c r="I38" s="27" t="str">
        <f aca="false">IF(G38="Pagado","Pagado",IF(E38="","Sin fecha de vencimiento",IF(H38&lt;=0,"Por vencer",IF(H38&lt;=30,"1 a 30 dias",IF(H38&lt;=60,"31 a 60 dias",IF(H38&lt;=90,"61 a 90 dias","Mas de 90 dias"))))))</f>
        <v>31 a 60 dias</v>
      </c>
      <c r="J38" s="27" t="s">
        <v>105</v>
      </c>
      <c r="K38" s="29" t="n">
        <v>400000</v>
      </c>
      <c r="L38" s="27" t="n">
        <v>30</v>
      </c>
    </row>
    <row r="39" customFormat="false" ht="15" hidden="false" customHeight="false" outlineLevel="0" collapsed="false">
      <c r="A39" s="27" t="s">
        <v>187</v>
      </c>
      <c r="B39" s="27" t="s">
        <v>220</v>
      </c>
      <c r="C39" s="27" t="s">
        <v>82</v>
      </c>
      <c r="D39" s="26" t="n">
        <v>46090</v>
      </c>
      <c r="E39" s="26" t="n">
        <v>46135</v>
      </c>
      <c r="F39" s="29" t="n">
        <v>8500</v>
      </c>
      <c r="G39" s="27" t="s">
        <v>213</v>
      </c>
      <c r="H39" s="28" t="n">
        <f aca="false">IF(G39="Pagado",0,IF(E39="","",MAX(0,$B$1-E39)))</f>
        <v>38</v>
      </c>
      <c r="I39" s="27" t="str">
        <f aca="false">IF(G39="Pagado","Pagado",IF(E39="","Sin fecha de vencimiento",IF(H39&lt;=0,"Por vencer",IF(H39&lt;=30,"1 a 30 dias",IF(H39&lt;=60,"31 a 60 dias",IF(H39&lt;=90,"61 a 90 dias","Mas de 90 dias"))))))</f>
        <v>31 a 60 dias</v>
      </c>
      <c r="J39" s="27" t="s">
        <v>107</v>
      </c>
      <c r="K39" s="29" t="n">
        <v>120000</v>
      </c>
      <c r="L39" s="27" t="n">
        <v>45</v>
      </c>
    </row>
    <row r="40" customFormat="false" ht="15" hidden="false" customHeight="false" outlineLevel="0" collapsed="false">
      <c r="A40" s="27" t="s">
        <v>178</v>
      </c>
      <c r="B40" s="27" t="s">
        <v>221</v>
      </c>
      <c r="C40" s="27" t="s">
        <v>83</v>
      </c>
      <c r="D40" s="26" t="n">
        <v>46114</v>
      </c>
      <c r="E40" s="26" t="n">
        <v>46144</v>
      </c>
      <c r="F40" s="29" t="n">
        <v>15200</v>
      </c>
      <c r="G40" s="27" t="s">
        <v>213</v>
      </c>
      <c r="H40" s="28" t="n">
        <f aca="false">IF(G40="Pagado",0,IF(E40="","",MAX(0,$B$1-E40)))</f>
        <v>29</v>
      </c>
      <c r="I40" s="27" t="str">
        <f aca="false">IF(G40="Pagado","Pagado",IF(E40="","Sin fecha de vencimiento",IF(H40&lt;=0,"Por vencer",IF(H40&lt;=30,"1 a 30 dias",IF(H40&lt;=60,"31 a 60 dias",IF(H40&lt;=90,"61 a 90 dias","Mas de 90 dias"))))))</f>
        <v>1 a 30 dias</v>
      </c>
      <c r="J40" s="27" t="s">
        <v>104</v>
      </c>
      <c r="K40" s="29" t="n">
        <v>60000</v>
      </c>
      <c r="L40" s="27" t="n">
        <v>15</v>
      </c>
    </row>
    <row r="41" customFormat="false" ht="15" hidden="false" customHeight="false" outlineLevel="0" collapsed="false">
      <c r="A41" s="27" t="s">
        <v>197</v>
      </c>
      <c r="B41" s="27" t="s">
        <v>222</v>
      </c>
      <c r="C41" s="27" t="s">
        <v>83</v>
      </c>
      <c r="D41" s="26" t="n">
        <v>46114</v>
      </c>
      <c r="E41" s="26" t="n">
        <v>46152</v>
      </c>
      <c r="F41" s="29" t="n">
        <v>56000</v>
      </c>
      <c r="G41" s="27" t="s">
        <v>213</v>
      </c>
      <c r="H41" s="28" t="n">
        <f aca="false">IF(G41="Pagado",0,IF(E41="","",MAX(0,$B$1-E41)))</f>
        <v>21</v>
      </c>
      <c r="I41" s="27" t="str">
        <f aca="false">IF(G41="Pagado","Pagado",IF(E41="","Sin fecha de vencimiento",IF(H41&lt;=0,"Por vencer",IF(H41&lt;=30,"1 a 30 dias",IF(H41&lt;=60,"31 a 60 dias",IF(H41&lt;=90,"61 a 90 dias","Mas de 90 dias"))))))</f>
        <v>1 a 30 dias</v>
      </c>
      <c r="J41" s="27" t="s">
        <v>103</v>
      </c>
      <c r="K41" s="29" t="n">
        <v>90000</v>
      </c>
      <c r="L41" s="27" t="n">
        <v>30</v>
      </c>
    </row>
    <row r="42" customFormat="false" ht="15" hidden="false" customHeight="false" outlineLevel="0" collapsed="false">
      <c r="A42" s="27" t="s">
        <v>178</v>
      </c>
      <c r="B42" s="27" t="s">
        <v>223</v>
      </c>
      <c r="C42" s="27" t="s">
        <v>84</v>
      </c>
      <c r="D42" s="26" t="n">
        <v>46148</v>
      </c>
      <c r="E42" s="26" t="n">
        <v>46163</v>
      </c>
      <c r="F42" s="29" t="n">
        <v>33400</v>
      </c>
      <c r="G42" s="27" t="s">
        <v>213</v>
      </c>
      <c r="H42" s="28" t="n">
        <f aca="false">IF(G42="Pagado",0,IF(E42="","",MAX(0,$B$1-E42)))</f>
        <v>10</v>
      </c>
      <c r="I42" s="27" t="str">
        <f aca="false">IF(G42="Pagado","Pagado",IF(E42="","Sin fecha de vencimiento",IF(H42&lt;=0,"Por vencer",IF(H42&lt;=30,"1 a 30 dias",IF(H42&lt;=60,"31 a 60 dias",IF(H42&lt;=90,"61 a 90 dias","Mas de 90 dias"))))))</f>
        <v>1 a 30 dias</v>
      </c>
      <c r="J42" s="27" t="s">
        <v>104</v>
      </c>
      <c r="K42" s="29" t="n">
        <v>60000</v>
      </c>
      <c r="L42" s="27" t="n">
        <v>15</v>
      </c>
    </row>
    <row r="43" customFormat="false" ht="15" hidden="false" customHeight="false" outlineLevel="0" collapsed="false">
      <c r="A43" s="27" t="s">
        <v>185</v>
      </c>
      <c r="B43" s="27" t="s">
        <v>224</v>
      </c>
      <c r="C43" s="27" t="s">
        <v>83</v>
      </c>
      <c r="D43" s="26" t="n">
        <v>46140</v>
      </c>
      <c r="E43" s="26" t="n">
        <v>46170</v>
      </c>
      <c r="F43" s="29" t="n">
        <v>5600</v>
      </c>
      <c r="G43" s="27" t="s">
        <v>213</v>
      </c>
      <c r="H43" s="28" t="n">
        <f aca="false">IF(G43="Pagado",0,IF(E43="","",MAX(0,$B$1-E43)))</f>
        <v>3</v>
      </c>
      <c r="I43" s="27" t="str">
        <f aca="false">IF(G43="Pagado","Pagado",IF(E43="","Sin fecha de vencimiento",IF(H43&lt;=0,"Por vencer",IF(H43&lt;=30,"1 a 30 dias",IF(H43&lt;=60,"31 a 60 dias",IF(H43&lt;=90,"61 a 90 dias","Mas de 90 dias"))))))</f>
        <v>1 a 30 dias</v>
      </c>
      <c r="J43" s="27" t="s">
        <v>103</v>
      </c>
      <c r="K43" s="29" t="n">
        <v>80000</v>
      </c>
      <c r="L43" s="27" t="n">
        <v>30</v>
      </c>
    </row>
    <row r="44" customFormat="false" ht="15" hidden="false" customHeight="false" outlineLevel="0" collapsed="false">
      <c r="A44" s="27" t="s">
        <v>193</v>
      </c>
      <c r="B44" s="27" t="s">
        <v>225</v>
      </c>
      <c r="C44" s="27" t="s">
        <v>84</v>
      </c>
      <c r="D44" s="26" t="n">
        <v>46161</v>
      </c>
      <c r="E44" s="26" t="n">
        <v>46176</v>
      </c>
      <c r="F44" s="29" t="n">
        <v>33400</v>
      </c>
      <c r="G44" s="27" t="s">
        <v>213</v>
      </c>
      <c r="H44" s="28" t="n">
        <f aca="false">IF(G44="Pagado",0,IF(E44="","",MAX(0,$B$1-E44)))</f>
        <v>0</v>
      </c>
      <c r="I44" s="27" t="str">
        <f aca="false">IF(G44="Pagado","Pagado",IF(E44="","Sin fecha de vencimiento",IF(H44&lt;=0,"Por vencer",IF(H44&lt;=30,"1 a 30 dias",IF(H44&lt;=60,"31 a 60 dias",IF(H44&lt;=90,"61 a 90 dias","Mas de 90 dias"))))))</f>
        <v>Por vencer</v>
      </c>
      <c r="J44" s="27" t="s">
        <v>108</v>
      </c>
      <c r="K44" s="29" t="n">
        <v>100000</v>
      </c>
      <c r="L44" s="27" t="n">
        <v>15</v>
      </c>
    </row>
    <row r="45" customFormat="false" ht="15" hidden="false" customHeight="false" outlineLevel="0" collapsed="false">
      <c r="A45" s="27" t="s">
        <v>226</v>
      </c>
      <c r="B45" s="27" t="s">
        <v>227</v>
      </c>
      <c r="C45" s="27" t="s">
        <v>83</v>
      </c>
      <c r="D45" s="26" t="n">
        <v>46134</v>
      </c>
      <c r="E45" s="26" t="n">
        <v>46179</v>
      </c>
      <c r="F45" s="29" t="n">
        <v>8500</v>
      </c>
      <c r="G45" s="27" t="s">
        <v>213</v>
      </c>
      <c r="H45" s="28" t="n">
        <f aca="false">IF(G45="Pagado",0,IF(E45="","",MAX(0,$B$1-E45)))</f>
        <v>0</v>
      </c>
      <c r="I45" s="27" t="str">
        <f aca="false">IF(G45="Pagado","Pagado",IF(E45="","Sin fecha de vencimiento",IF(H45&lt;=0,"Por vencer",IF(H45&lt;=30,"1 a 30 dias",IF(H45&lt;=60,"31 a 60 dias",IF(H45&lt;=90,"61 a 90 dias","Mas de 90 dias"))))))</f>
        <v>Por vencer</v>
      </c>
      <c r="J45" s="27" t="s">
        <v>108</v>
      </c>
      <c r="K45" s="29" t="n">
        <v>50000</v>
      </c>
      <c r="L45" s="27" t="n">
        <v>45</v>
      </c>
    </row>
    <row r="46" customFormat="false" ht="15" hidden="false" customHeight="false" outlineLevel="0" collapsed="false">
      <c r="A46" s="27" t="s">
        <v>226</v>
      </c>
      <c r="B46" s="27" t="s">
        <v>228</v>
      </c>
      <c r="C46" s="27" t="s">
        <v>84</v>
      </c>
      <c r="D46" s="26" t="n">
        <v>46152</v>
      </c>
      <c r="E46" s="26" t="n">
        <v>46182</v>
      </c>
      <c r="F46" s="29" t="n">
        <v>9800</v>
      </c>
      <c r="G46" s="27" t="s">
        <v>213</v>
      </c>
      <c r="H46" s="28" t="n">
        <f aca="false">IF(G46="Pagado",0,IF(E46="","",MAX(0,$B$1-E46)))</f>
        <v>0</v>
      </c>
      <c r="I46" s="27" t="str">
        <f aca="false">IF(G46="Pagado","Pagado",IF(E46="","Sin fecha de vencimiento",IF(H46&lt;=0,"Por vencer",IF(H46&lt;=30,"1 a 30 dias",IF(H46&lt;=60,"31 a 60 dias",IF(H46&lt;=90,"61 a 90 dias","Mas de 90 dias"))))))</f>
        <v>Por vencer</v>
      </c>
      <c r="J46" s="27" t="s">
        <v>108</v>
      </c>
      <c r="K46" s="29" t="n">
        <v>50000</v>
      </c>
      <c r="L46" s="27" t="n">
        <v>45</v>
      </c>
    </row>
    <row r="47" customFormat="false" ht="15" hidden="false" customHeight="false" outlineLevel="0" collapsed="false">
      <c r="A47" s="27" t="s">
        <v>172</v>
      </c>
      <c r="B47" s="27" t="s">
        <v>229</v>
      </c>
      <c r="C47" s="27" t="s">
        <v>84</v>
      </c>
      <c r="D47" s="26" t="n">
        <v>46154</v>
      </c>
      <c r="E47" s="26" t="n">
        <v>46184</v>
      </c>
      <c r="F47" s="29" t="n">
        <v>9800</v>
      </c>
      <c r="G47" s="27" t="s">
        <v>213</v>
      </c>
      <c r="H47" s="28" t="n">
        <f aca="false">IF(G47="Pagado",0,IF(E47="","",MAX(0,$B$1-E47)))</f>
        <v>0</v>
      </c>
      <c r="I47" s="27" t="str">
        <f aca="false">IF(G47="Pagado","Pagado",IF(E47="","Sin fecha de vencimiento",IF(H47&lt;=0,"Por vencer",IF(H47&lt;=30,"1 a 30 dias",IF(H47&lt;=60,"31 a 60 dias",IF(H47&lt;=90,"61 a 90 dias","Mas de 90 dias"))))))</f>
        <v>Por vencer</v>
      </c>
      <c r="J47" s="27" t="s">
        <v>107</v>
      </c>
      <c r="K47" s="29" t="n">
        <v>40000</v>
      </c>
      <c r="L47" s="27" t="n">
        <v>7</v>
      </c>
    </row>
    <row r="48" customFormat="false" ht="15" hidden="false" customHeight="false" outlineLevel="0" collapsed="false">
      <c r="A48" s="27" t="s">
        <v>176</v>
      </c>
      <c r="B48" s="27" t="s">
        <v>230</v>
      </c>
      <c r="C48" s="27" t="s">
        <v>84</v>
      </c>
      <c r="D48" s="26" t="n">
        <v>46156</v>
      </c>
      <c r="E48" s="26" t="n">
        <v>46186</v>
      </c>
      <c r="F48" s="29" t="n">
        <v>128000</v>
      </c>
      <c r="G48" s="27" t="s">
        <v>213</v>
      </c>
      <c r="H48" s="28" t="n">
        <f aca="false">IF(G48="Pagado",0,IF(E48="","",MAX(0,$B$1-E48)))</f>
        <v>0</v>
      </c>
      <c r="I48" s="27" t="str">
        <f aca="false">IF(G48="Pagado","Pagado",IF(E48="","Sin fecha de vencimiento",IF(H48&lt;=0,"Por vencer",IF(H48&lt;=30,"1 a 30 dias",IF(H48&lt;=60,"31 a 60 dias",IF(H48&lt;=90,"61 a 90 dias","Mas de 90 dias"))))))</f>
        <v>Por vencer</v>
      </c>
      <c r="J48" s="27" t="s">
        <v>105</v>
      </c>
      <c r="K48" s="29" t="n">
        <v>400000</v>
      </c>
      <c r="L48" s="27" t="n">
        <v>30</v>
      </c>
    </row>
    <row r="49" customFormat="false" ht="15" hidden="false" customHeight="false" outlineLevel="0" collapsed="false">
      <c r="A49" s="27" t="s">
        <v>185</v>
      </c>
      <c r="B49" s="27" t="s">
        <v>231</v>
      </c>
      <c r="C49" s="27" t="s">
        <v>84</v>
      </c>
      <c r="D49" s="26" t="n">
        <v>46167</v>
      </c>
      <c r="E49" s="26" t="n">
        <v>46197</v>
      </c>
      <c r="F49" s="29" t="n">
        <v>15200</v>
      </c>
      <c r="G49" s="27" t="s">
        <v>213</v>
      </c>
      <c r="H49" s="28" t="n">
        <f aca="false">IF(G49="Pagado",0,IF(E49="","",MAX(0,$B$1-E49)))</f>
        <v>0</v>
      </c>
      <c r="I49" s="27" t="str">
        <f aca="false">IF(G49="Pagado","Pagado",IF(E49="","Sin fecha de vencimiento",IF(H49&lt;=0,"Por vencer",IF(H49&lt;=30,"1 a 30 dias",IF(H49&lt;=60,"31 a 60 dias",IF(H49&lt;=90,"61 a 90 dias","Mas de 90 dias"))))))</f>
        <v>Por vencer</v>
      </c>
      <c r="J49" s="27" t="s">
        <v>103</v>
      </c>
      <c r="K49" s="29" t="n">
        <v>80000</v>
      </c>
      <c r="L49" s="27" t="n">
        <v>30</v>
      </c>
    </row>
    <row r="50" customFormat="false" ht="15" hidden="false" customHeight="false" outlineLevel="0" collapsed="false">
      <c r="A50" s="27" t="s">
        <v>197</v>
      </c>
      <c r="B50" s="27" t="s">
        <v>232</v>
      </c>
      <c r="C50" s="27" t="s">
        <v>84</v>
      </c>
      <c r="D50" s="26" t="n">
        <v>46157</v>
      </c>
      <c r="E50" s="26" t="n">
        <v>46202</v>
      </c>
      <c r="F50" s="29" t="n">
        <v>5600</v>
      </c>
      <c r="G50" s="27" t="s">
        <v>213</v>
      </c>
      <c r="H50" s="28" t="n">
        <f aca="false">IF(G50="Pagado",0,IF(E50="","",MAX(0,$B$1-E50)))</f>
        <v>0</v>
      </c>
      <c r="I50" s="27" t="str">
        <f aca="false">IF(G50="Pagado","Pagado",IF(E50="","Sin fecha de vencimiento",IF(H50&lt;=0,"Por vencer",IF(H50&lt;=30,"1 a 30 dias",IF(H50&lt;=60,"31 a 60 dias",IF(H50&lt;=90,"61 a 90 dias","Mas de 90 dias"))))))</f>
        <v>Por vencer</v>
      </c>
      <c r="J50" s="27" t="s">
        <v>103</v>
      </c>
      <c r="K50" s="29" t="n">
        <v>90000</v>
      </c>
      <c r="L50" s="27" t="n">
        <v>30</v>
      </c>
    </row>
    <row r="51" customFormat="false" ht="15" hidden="false" customHeight="false" outlineLevel="0" collapsed="false">
      <c r="A51" s="27" t="s">
        <v>207</v>
      </c>
      <c r="B51" s="27" t="s">
        <v>233</v>
      </c>
      <c r="C51" s="27" t="s">
        <v>80</v>
      </c>
      <c r="D51" s="26"/>
      <c r="E51" s="26"/>
      <c r="F51" s="29" t="n">
        <v>56000</v>
      </c>
      <c r="G51" s="27" t="s">
        <v>213</v>
      </c>
      <c r="H51" s="28" t="str">
        <f aca="false">IF(G51="Pagado",0,IF(E51="","",MAX(0,$B$1-E51)))</f>
        <v/>
      </c>
      <c r="I51" s="27" t="str">
        <f aca="false">IF(G51="Pagado","Pagado",IF(E51="","Sin fecha de vencimiento",IF(H51&lt;=0,"Por vencer",IF(H51&lt;=30,"1 a 30 dias",IF(H51&lt;=60,"31 a 60 dias",IF(H51&lt;=90,"61 a 90 dias","Mas de 90 dias"))))))</f>
        <v>Sin fecha de vencimiento</v>
      </c>
      <c r="J51" s="27" t="s">
        <v>104</v>
      </c>
      <c r="K51" s="29" t="n">
        <v>180000</v>
      </c>
      <c r="L51" s="27" t="n">
        <v>30</v>
      </c>
    </row>
    <row r="52" customFormat="false" ht="15" hidden="false" customHeight="false" outlineLevel="0" collapsed="false">
      <c r="A52" s="27" t="s">
        <v>172</v>
      </c>
      <c r="B52" s="27" t="s">
        <v>234</v>
      </c>
      <c r="C52" s="27" t="s">
        <v>80</v>
      </c>
      <c r="D52" s="26"/>
      <c r="E52" s="26"/>
      <c r="F52" s="29" t="n">
        <v>33400</v>
      </c>
      <c r="G52" s="27" t="s">
        <v>213</v>
      </c>
      <c r="H52" s="28" t="str">
        <f aca="false">IF(G52="Pagado",0,IF(E52="","",MAX(0,$B$1-E52)))</f>
        <v/>
      </c>
      <c r="I52" s="27" t="str">
        <f aca="false">IF(G52="Pagado","Pagado",IF(E52="","Sin fecha de vencimiento",IF(H52&lt;=0,"Por vencer",IF(H52&lt;=30,"1 a 30 dias",IF(H52&lt;=60,"31 a 60 dias",IF(H52&lt;=90,"61 a 90 dias","Mas de 90 dias"))))))</f>
        <v>Sin fecha de vencimiento</v>
      </c>
      <c r="J52" s="27" t="s">
        <v>107</v>
      </c>
      <c r="K52" s="29" t="n">
        <v>40000</v>
      </c>
      <c r="L52" s="27" t="n">
        <v>7</v>
      </c>
    </row>
    <row r="53" customFormat="false" ht="15" hidden="false" customHeight="false" outlineLevel="0" collapsed="false">
      <c r="A53" s="27" t="s">
        <v>185</v>
      </c>
      <c r="B53" s="27" t="s">
        <v>235</v>
      </c>
      <c r="C53" s="27" t="s">
        <v>80</v>
      </c>
      <c r="D53" s="26"/>
      <c r="E53" s="26"/>
      <c r="F53" s="29" t="n">
        <v>5600</v>
      </c>
      <c r="G53" s="27" t="s">
        <v>213</v>
      </c>
      <c r="H53" s="28" t="str">
        <f aca="false">IF(G53="Pagado",0,IF(E53="","",MAX(0,$B$1-E53)))</f>
        <v/>
      </c>
      <c r="I53" s="27" t="str">
        <f aca="false">IF(G53="Pagado","Pagado",IF(E53="","Sin fecha de vencimiento",IF(H53&lt;=0,"Por vencer",IF(H53&lt;=30,"1 a 30 dias",IF(H53&lt;=60,"31 a 60 dias",IF(H53&lt;=90,"61 a 90 dias","Mas de 90 dias"))))))</f>
        <v>Sin fecha de vencimiento</v>
      </c>
      <c r="J53" s="27" t="s">
        <v>103</v>
      </c>
      <c r="K53" s="29" t="n">
        <v>80000</v>
      </c>
      <c r="L53" s="27" t="n">
        <v>30</v>
      </c>
    </row>
    <row r="54" customFormat="false" ht="15" hidden="false" customHeight="false" outlineLevel="0" collapsed="false">
      <c r="A54" s="27" t="s">
        <v>214</v>
      </c>
      <c r="B54" s="27" t="s">
        <v>236</v>
      </c>
      <c r="C54" s="27" t="s">
        <v>81</v>
      </c>
      <c r="D54" s="26"/>
      <c r="E54" s="26"/>
      <c r="F54" s="29" t="n">
        <v>5600</v>
      </c>
      <c r="G54" s="27" t="s">
        <v>213</v>
      </c>
      <c r="H54" s="28" t="str">
        <f aca="false">IF(G54="Pagado",0,IF(E54="","",MAX(0,$B$1-E54)))</f>
        <v/>
      </c>
      <c r="I54" s="27" t="str">
        <f aca="false">IF(G54="Pagado","Pagado",IF(E54="","Sin fecha de vencimiento",IF(H54&lt;=0,"Por vencer",IF(H54&lt;=30,"1 a 30 dias",IF(H54&lt;=60,"31 a 60 dias",IF(H54&lt;=90,"61 a 90 dias","Mas de 90 dias"))))))</f>
        <v>Sin fecha de vencimiento</v>
      </c>
      <c r="J54" s="27" t="s">
        <v>106</v>
      </c>
      <c r="K54" s="29" t="n">
        <v>200000</v>
      </c>
      <c r="L54" s="27" t="n">
        <v>45</v>
      </c>
    </row>
    <row r="55" customFormat="false" ht="15" hidden="false" customHeight="false" outlineLevel="0" collapsed="false">
      <c r="A55" s="27" t="s">
        <v>176</v>
      </c>
      <c r="B55" s="27" t="s">
        <v>237</v>
      </c>
      <c r="C55" s="27" t="s">
        <v>81</v>
      </c>
      <c r="D55" s="26"/>
      <c r="E55" s="26"/>
      <c r="F55" s="29" t="n">
        <v>56000</v>
      </c>
      <c r="G55" s="27" t="s">
        <v>213</v>
      </c>
      <c r="H55" s="28" t="str">
        <f aca="false">IF(G55="Pagado",0,IF(E55="","",MAX(0,$B$1-E55)))</f>
        <v/>
      </c>
      <c r="I55" s="27" t="str">
        <f aca="false">IF(G55="Pagado","Pagado",IF(E55="","Sin fecha de vencimiento",IF(H55&lt;=0,"Por vencer",IF(H55&lt;=30,"1 a 30 dias",IF(H55&lt;=60,"31 a 60 dias",IF(H55&lt;=90,"61 a 90 dias","Mas de 90 dias"))))))</f>
        <v>Sin fecha de vencimiento</v>
      </c>
      <c r="J55" s="27" t="s">
        <v>105</v>
      </c>
      <c r="K55" s="29" t="n">
        <v>400000</v>
      </c>
      <c r="L55" s="27" t="n">
        <v>30</v>
      </c>
    </row>
    <row r="56" customFormat="false" ht="15" hidden="false" customHeight="false" outlineLevel="0" collapsed="false">
      <c r="A56" s="27" t="s">
        <v>214</v>
      </c>
      <c r="B56" s="27" t="s">
        <v>238</v>
      </c>
      <c r="C56" s="27" t="s">
        <v>82</v>
      </c>
      <c r="D56" s="26"/>
      <c r="E56" s="26"/>
      <c r="F56" s="29" t="n">
        <v>9800</v>
      </c>
      <c r="G56" s="27" t="s">
        <v>213</v>
      </c>
      <c r="H56" s="28" t="str">
        <f aca="false">IF(G56="Pagado",0,IF(E56="","",MAX(0,$B$1-E56)))</f>
        <v/>
      </c>
      <c r="I56" s="27" t="str">
        <f aca="false">IF(G56="Pagado","Pagado",IF(E56="","Sin fecha de vencimiento",IF(H56&lt;=0,"Por vencer",IF(H56&lt;=30,"1 a 30 dias",IF(H56&lt;=60,"31 a 60 dias",IF(H56&lt;=90,"61 a 90 dias","Mas de 90 dias"))))))</f>
        <v>Sin fecha de vencimiento</v>
      </c>
      <c r="J56" s="27" t="s">
        <v>106</v>
      </c>
      <c r="K56" s="29" t="n">
        <v>200000</v>
      </c>
      <c r="L56" s="27" t="n">
        <v>45</v>
      </c>
    </row>
    <row r="57" customFormat="false" ht="15" hidden="false" customHeight="false" outlineLevel="0" collapsed="false">
      <c r="A57" s="27" t="s">
        <v>239</v>
      </c>
      <c r="B57" s="27" t="s">
        <v>240</v>
      </c>
      <c r="C57" s="27" t="s">
        <v>83</v>
      </c>
      <c r="D57" s="26" t="n">
        <v>46117</v>
      </c>
      <c r="E57" s="26" t="n">
        <v>46147</v>
      </c>
      <c r="F57" s="29" t="n">
        <v>21000</v>
      </c>
      <c r="G57" s="27"/>
      <c r="H57" s="28" t="n">
        <f aca="false">IF(G57="Pagado",0,IF(E57="","",MAX(0,$B$1-E57)))</f>
        <v>26</v>
      </c>
      <c r="I57" s="27" t="str">
        <f aca="false">IF(G57="Pagado","Pagado",IF(E57="","Sin fecha de vencimiento",IF(H57&lt;=0,"Por vencer",IF(H57&lt;=30,"1 a 30 dias",IF(H57&lt;=60,"31 a 60 dias",IF(H57&lt;=90,"61 a 90 dias","Mas de 90 dias"))))))</f>
        <v>1 a 30 dias</v>
      </c>
      <c r="J57" s="27" t="s">
        <v>105</v>
      </c>
      <c r="K57" s="29" t="n">
        <v>70000</v>
      </c>
      <c r="L57" s="27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86"/>
  </cols>
  <sheetData>
    <row r="1" customFormat="false" ht="17.35" hidden="false" customHeight="false" outlineLevel="0" collapsed="false">
      <c r="A1" s="38" t="s">
        <v>241</v>
      </c>
    </row>
    <row r="2" customFormat="false" ht="15" hidden="false" customHeight="false" outlineLevel="0" collapsed="false">
      <c r="A2" s="16" t="s">
        <v>242</v>
      </c>
    </row>
    <row r="3" customFormat="false" ht="15" hidden="false" customHeight="false" outlineLevel="0" collapsed="false">
      <c r="A3" s="17" t="s">
        <v>243</v>
      </c>
      <c r="B3" s="17" t="s">
        <v>244</v>
      </c>
      <c r="C3" s="17" t="s">
        <v>245</v>
      </c>
      <c r="D3" s="17" t="s">
        <v>246</v>
      </c>
      <c r="E3" s="17" t="s">
        <v>247</v>
      </c>
      <c r="F3" s="17" t="s">
        <v>248</v>
      </c>
      <c r="G3" s="17" t="s">
        <v>249</v>
      </c>
    </row>
    <row r="4" customFormat="false" ht="22.35" hidden="false" customHeight="false" outlineLevel="0" collapsed="false">
      <c r="A4" s="39" t="s">
        <v>250</v>
      </c>
      <c r="B4" s="39" t="s">
        <v>251</v>
      </c>
      <c r="C4" s="40" t="n">
        <v>2848860</v>
      </c>
      <c r="D4" s="40" t="n">
        <v>2848860</v>
      </c>
      <c r="E4" s="40" t="n">
        <v>0</v>
      </c>
      <c r="F4" s="41" t="n">
        <v>0</v>
      </c>
      <c r="G4" s="42" t="s">
        <v>252</v>
      </c>
    </row>
    <row r="5" customFormat="false" ht="15" hidden="false" customHeight="false" outlineLevel="0" collapsed="false">
      <c r="A5" s="39" t="s">
        <v>253</v>
      </c>
      <c r="B5" s="39" t="s">
        <v>254</v>
      </c>
      <c r="C5" s="40" t="n">
        <v>2848860</v>
      </c>
      <c r="D5" s="40" t="n">
        <v>2848860</v>
      </c>
      <c r="E5" s="40" t="n">
        <v>0</v>
      </c>
      <c r="F5" s="41" t="n">
        <v>0</v>
      </c>
      <c r="G5" s="42" t="s">
        <v>255</v>
      </c>
    </row>
    <row r="6" customFormat="false" ht="22.35" hidden="false" customHeight="false" outlineLevel="0" collapsed="false">
      <c r="A6" s="39" t="s">
        <v>256</v>
      </c>
      <c r="B6" s="39" t="s">
        <v>257</v>
      </c>
      <c r="C6" s="40" t="n">
        <v>2109960</v>
      </c>
      <c r="D6" s="40" t="n">
        <v>2137680</v>
      </c>
      <c r="E6" s="40" t="n">
        <v>27720</v>
      </c>
      <c r="F6" s="41" t="n">
        <v>0.0131376898140249</v>
      </c>
      <c r="G6" s="42" t="s">
        <v>258</v>
      </c>
    </row>
    <row r="7" customFormat="false" ht="15" hidden="false" customHeight="false" outlineLevel="0" collapsed="false">
      <c r="A7" s="39" t="s">
        <v>259</v>
      </c>
      <c r="B7" s="39" t="s">
        <v>260</v>
      </c>
      <c r="C7" s="40" t="n">
        <v>2415260</v>
      </c>
      <c r="D7" s="40" t="n">
        <v>2415260</v>
      </c>
      <c r="E7" s="40" t="n">
        <v>0</v>
      </c>
      <c r="F7" s="41" t="n">
        <v>0</v>
      </c>
      <c r="G7" s="42" t="s">
        <v>261</v>
      </c>
    </row>
    <row r="8" customFormat="false" ht="22.35" hidden="false" customHeight="false" outlineLevel="0" collapsed="false">
      <c r="A8" s="39" t="s">
        <v>262</v>
      </c>
      <c r="B8" s="39" t="s">
        <v>263</v>
      </c>
      <c r="C8" s="40" t="n">
        <v>2774760</v>
      </c>
      <c r="D8" s="40" t="n">
        <v>2750260</v>
      </c>
      <c r="E8" s="40" t="n">
        <v>-24500</v>
      </c>
      <c r="F8" s="41" t="n">
        <v>-0.0088295924692586</v>
      </c>
      <c r="G8" s="42" t="s">
        <v>264</v>
      </c>
    </row>
    <row r="9" customFormat="false" ht="15" hidden="false" customHeight="false" outlineLevel="0" collapsed="false">
      <c r="A9" s="39" t="s">
        <v>265</v>
      </c>
      <c r="B9" s="39" t="s">
        <v>266</v>
      </c>
      <c r="C9" s="40" t="n">
        <v>3083330</v>
      </c>
      <c r="D9" s="40" t="n">
        <v>3083330</v>
      </c>
      <c r="E9" s="40" t="n">
        <v>0</v>
      </c>
      <c r="F9" s="41" t="n">
        <v>0</v>
      </c>
      <c r="G9" s="42" t="s">
        <v>261</v>
      </c>
    </row>
    <row r="10" customFormat="false" ht="22.35" hidden="false" customHeight="false" outlineLevel="0" collapsed="false">
      <c r="A10" s="39" t="s">
        <v>250</v>
      </c>
      <c r="B10" s="39" t="s">
        <v>267</v>
      </c>
      <c r="C10" s="40" t="n">
        <v>2853580</v>
      </c>
      <c r="D10" s="40" t="n">
        <v>2848860</v>
      </c>
      <c r="E10" s="40" t="n">
        <v>-4720</v>
      </c>
      <c r="F10" s="41" t="n">
        <v>-0.00165406261608226</v>
      </c>
      <c r="G10" s="4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8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38" t="s">
        <v>268</v>
      </c>
    </row>
    <row r="2" customFormat="false" ht="15" hidden="false" customHeight="false" outlineLevel="0" collapsed="false">
      <c r="A2" s="16" t="s">
        <v>269</v>
      </c>
    </row>
    <row r="3" customFormat="false" ht="15" hidden="false" customHeight="false" outlineLevel="0" collapsed="false">
      <c r="A3" s="17" t="s">
        <v>270</v>
      </c>
      <c r="B3" s="17" t="s">
        <v>271</v>
      </c>
      <c r="C3" s="17" t="s">
        <v>272</v>
      </c>
      <c r="D3" s="17" t="s">
        <v>273</v>
      </c>
      <c r="E3" s="17" t="s">
        <v>274</v>
      </c>
      <c r="F3" s="17" t="s">
        <v>275</v>
      </c>
    </row>
    <row r="4" customFormat="false" ht="15" hidden="false" customHeight="false" outlineLevel="0" collapsed="false">
      <c r="A4" s="39" t="s">
        <v>276</v>
      </c>
      <c r="B4" s="39" t="s">
        <v>254</v>
      </c>
      <c r="C4" s="39" t="s">
        <v>154</v>
      </c>
      <c r="D4" s="39" t="s">
        <v>154</v>
      </c>
      <c r="E4" s="42" t="s">
        <v>277</v>
      </c>
      <c r="F4" s="40" t="n">
        <v>-2848860</v>
      </c>
    </row>
    <row r="5" customFormat="false" ht="15" hidden="false" customHeight="false" outlineLevel="0" collapsed="false">
      <c r="A5" s="39" t="s">
        <v>276</v>
      </c>
      <c r="B5" s="39" t="s">
        <v>254</v>
      </c>
      <c r="C5" s="39" t="s">
        <v>154</v>
      </c>
      <c r="D5" s="39" t="s">
        <v>154</v>
      </c>
      <c r="E5" s="42" t="s">
        <v>277</v>
      </c>
      <c r="F5" s="40" t="n">
        <v>-2848860</v>
      </c>
    </row>
    <row r="6" customFormat="false" ht="15" hidden="false" customHeight="false" outlineLevel="0" collapsed="false">
      <c r="A6" s="39" t="s">
        <v>278</v>
      </c>
      <c r="B6" s="39" t="s">
        <v>279</v>
      </c>
      <c r="C6" s="39" t="s">
        <v>280</v>
      </c>
      <c r="D6" s="39" t="s">
        <v>154</v>
      </c>
      <c r="E6" s="42" t="s">
        <v>281</v>
      </c>
      <c r="F6" s="40" t="n">
        <v>166400</v>
      </c>
    </row>
    <row r="7" customFormat="false" ht="15" hidden="false" customHeight="false" outlineLevel="0" collapsed="false">
      <c r="A7" s="39" t="s">
        <v>278</v>
      </c>
      <c r="B7" s="39" t="s">
        <v>279</v>
      </c>
      <c r="C7" s="39" t="s">
        <v>280</v>
      </c>
      <c r="D7" s="39" t="s">
        <v>154</v>
      </c>
      <c r="E7" s="42" t="s">
        <v>281</v>
      </c>
      <c r="F7" s="40" t="n">
        <v>166400</v>
      </c>
    </row>
    <row r="8" customFormat="false" ht="15" hidden="false" customHeight="false" outlineLevel="0" collapsed="false">
      <c r="A8" s="39" t="s">
        <v>278</v>
      </c>
      <c r="B8" s="39" t="s">
        <v>279</v>
      </c>
      <c r="C8" s="39" t="s">
        <v>280</v>
      </c>
      <c r="D8" s="39" t="s">
        <v>154</v>
      </c>
      <c r="E8" s="42" t="s">
        <v>281</v>
      </c>
      <c r="F8" s="40" t="n">
        <v>166400</v>
      </c>
    </row>
    <row r="9" customFormat="false" ht="15" hidden="false" customHeight="false" outlineLevel="0" collapsed="false">
      <c r="A9" s="39" t="s">
        <v>276</v>
      </c>
      <c r="B9" s="39" t="s">
        <v>257</v>
      </c>
      <c r="C9" s="39" t="s">
        <v>154</v>
      </c>
      <c r="D9" s="39" t="s">
        <v>154</v>
      </c>
      <c r="E9" s="42" t="s">
        <v>282</v>
      </c>
      <c r="F9" s="40" t="n">
        <v>27720</v>
      </c>
    </row>
    <row r="10" customFormat="false" ht="15" hidden="false" customHeight="false" outlineLevel="0" collapsed="false">
      <c r="A10" s="39" t="s">
        <v>276</v>
      </c>
      <c r="B10" s="39" t="s">
        <v>257</v>
      </c>
      <c r="C10" s="39" t="s">
        <v>154</v>
      </c>
      <c r="D10" s="39" t="s">
        <v>154</v>
      </c>
      <c r="E10" s="42" t="s">
        <v>282</v>
      </c>
      <c r="F10" s="40" t="n">
        <v>27720</v>
      </c>
    </row>
    <row r="11" customFormat="false" ht="15" hidden="false" customHeight="false" outlineLevel="0" collapsed="false">
      <c r="A11" s="39" t="s">
        <v>276</v>
      </c>
      <c r="B11" s="39" t="s">
        <v>257</v>
      </c>
      <c r="C11" s="39" t="s">
        <v>154</v>
      </c>
      <c r="D11" s="39" t="s">
        <v>154</v>
      </c>
      <c r="E11" s="42" t="s">
        <v>282</v>
      </c>
      <c r="F11" s="40" t="n">
        <v>27720</v>
      </c>
    </row>
    <row r="12" customFormat="false" ht="15" hidden="false" customHeight="false" outlineLevel="0" collapsed="false">
      <c r="A12" s="39" t="s">
        <v>276</v>
      </c>
      <c r="B12" s="39" t="s">
        <v>263</v>
      </c>
      <c r="C12" s="39" t="s">
        <v>154</v>
      </c>
      <c r="D12" s="39" t="s">
        <v>154</v>
      </c>
      <c r="E12" s="42" t="s">
        <v>283</v>
      </c>
      <c r="F12" s="40" t="n">
        <v>-24500</v>
      </c>
    </row>
    <row r="13" customFormat="false" ht="15" hidden="false" customHeight="false" outlineLevel="0" collapsed="false">
      <c r="A13" s="39" t="s">
        <v>284</v>
      </c>
      <c r="B13" s="39" t="s">
        <v>153</v>
      </c>
      <c r="C13" s="39" t="s">
        <v>154</v>
      </c>
      <c r="D13" s="39" t="n">
        <v>225</v>
      </c>
      <c r="E13" s="42" t="s">
        <v>285</v>
      </c>
      <c r="F13" s="40" t="n">
        <v>-24500</v>
      </c>
    </row>
    <row r="14" customFormat="false" ht="15" hidden="false" customHeight="false" outlineLevel="0" collapsed="false">
      <c r="A14" s="39" t="s">
        <v>276</v>
      </c>
      <c r="B14" s="39" t="s">
        <v>263</v>
      </c>
      <c r="C14" s="39" t="s">
        <v>154</v>
      </c>
      <c r="D14" s="39" t="s">
        <v>154</v>
      </c>
      <c r="E14" s="42" t="s">
        <v>283</v>
      </c>
      <c r="F14" s="40" t="n">
        <v>-24500</v>
      </c>
    </row>
    <row r="15" customFormat="false" ht="15" hidden="false" customHeight="false" outlineLevel="0" collapsed="false">
      <c r="A15" s="39" t="s">
        <v>276</v>
      </c>
      <c r="B15" s="39" t="s">
        <v>263</v>
      </c>
      <c r="C15" s="39" t="s">
        <v>154</v>
      </c>
      <c r="D15" s="39" t="s">
        <v>154</v>
      </c>
      <c r="E15" s="42" t="s">
        <v>283</v>
      </c>
      <c r="F15" s="40" t="n">
        <v>-24500</v>
      </c>
    </row>
    <row r="16" customFormat="false" ht="15" hidden="false" customHeight="false" outlineLevel="0" collapsed="false">
      <c r="A16" s="39" t="s">
        <v>286</v>
      </c>
      <c r="B16" s="39" t="s">
        <v>148</v>
      </c>
      <c r="C16" s="39" t="s">
        <v>149</v>
      </c>
      <c r="D16" s="39" t="n">
        <v>5</v>
      </c>
      <c r="E16" s="42" t="s">
        <v>287</v>
      </c>
      <c r="F16" s="40" t="n">
        <v>5000</v>
      </c>
    </row>
    <row r="17" customFormat="false" ht="15" hidden="false" customHeight="false" outlineLevel="0" collapsed="false">
      <c r="A17" s="39" t="s">
        <v>288</v>
      </c>
      <c r="B17" s="39" t="s">
        <v>289</v>
      </c>
      <c r="C17" s="39" t="s">
        <v>290</v>
      </c>
      <c r="D17" s="39" t="s">
        <v>154</v>
      </c>
      <c r="E17" s="42" t="s">
        <v>291</v>
      </c>
      <c r="F17" s="40" t="n">
        <v>-4600</v>
      </c>
    </row>
    <row r="18" customFormat="false" ht="15" hidden="false" customHeight="false" outlineLevel="0" collapsed="false">
      <c r="A18" s="39" t="s">
        <v>288</v>
      </c>
      <c r="B18" s="39" t="s">
        <v>289</v>
      </c>
      <c r="C18" s="39" t="s">
        <v>290</v>
      </c>
      <c r="D18" s="39" t="s">
        <v>154</v>
      </c>
      <c r="E18" s="42" t="s">
        <v>291</v>
      </c>
      <c r="F18" s="40" t="n">
        <v>-4600</v>
      </c>
    </row>
    <row r="19" customFormat="false" ht="15" hidden="false" customHeight="false" outlineLevel="0" collapsed="false">
      <c r="A19" s="39" t="s">
        <v>288</v>
      </c>
      <c r="B19" s="39" t="s">
        <v>289</v>
      </c>
      <c r="C19" s="39" t="s">
        <v>290</v>
      </c>
      <c r="D19" s="39" t="s">
        <v>154</v>
      </c>
      <c r="E19" s="42" t="s">
        <v>291</v>
      </c>
      <c r="F19" s="40" t="n">
        <v>-4600</v>
      </c>
    </row>
    <row r="20" customFormat="false" ht="15" hidden="false" customHeight="false" outlineLevel="0" collapsed="false">
      <c r="A20" s="39" t="s">
        <v>286</v>
      </c>
      <c r="B20" s="39" t="s">
        <v>148</v>
      </c>
      <c r="C20" s="39" t="s">
        <v>149</v>
      </c>
      <c r="D20" s="39" t="n">
        <v>9</v>
      </c>
      <c r="E20" s="42" t="s">
        <v>292</v>
      </c>
      <c r="F20" s="40" t="n">
        <v>-1180</v>
      </c>
    </row>
    <row r="21" customFormat="false" ht="22.35" hidden="false" customHeight="false" outlineLevel="0" collapsed="false">
      <c r="A21" s="39" t="s">
        <v>293</v>
      </c>
      <c r="B21" s="39" t="s">
        <v>153</v>
      </c>
      <c r="C21" s="39" t="s">
        <v>154</v>
      </c>
      <c r="D21" s="39" t="s">
        <v>154</v>
      </c>
      <c r="E21" s="42" t="s">
        <v>294</v>
      </c>
      <c r="F21" s="40"/>
    </row>
    <row r="22" customFormat="false" ht="22.35" hidden="false" customHeight="false" outlineLevel="0" collapsed="false">
      <c r="A22" s="39" t="s">
        <v>293</v>
      </c>
      <c r="B22" s="39" t="s">
        <v>156</v>
      </c>
      <c r="C22" s="39" t="s">
        <v>154</v>
      </c>
      <c r="D22" s="39" t="s">
        <v>154</v>
      </c>
      <c r="E22" s="42" t="s">
        <v>295</v>
      </c>
      <c r="F22" s="40"/>
    </row>
    <row r="23" customFormat="false" ht="15" hidden="false" customHeight="false" outlineLevel="0" collapsed="false">
      <c r="A23" s="39" t="s">
        <v>293</v>
      </c>
      <c r="B23" s="39" t="s">
        <v>156</v>
      </c>
      <c r="C23" s="39" t="s">
        <v>154</v>
      </c>
      <c r="D23" s="39" t="s">
        <v>154</v>
      </c>
      <c r="E23" s="42" t="s">
        <v>296</v>
      </c>
      <c r="F23" s="40"/>
    </row>
    <row r="24" customFormat="false" ht="15" hidden="false" customHeight="false" outlineLevel="0" collapsed="false">
      <c r="A24" s="39" t="s">
        <v>293</v>
      </c>
      <c r="B24" s="39" t="s">
        <v>156</v>
      </c>
      <c r="C24" s="39" t="s">
        <v>154</v>
      </c>
      <c r="D24" s="39" t="s">
        <v>154</v>
      </c>
      <c r="E24" s="42" t="s">
        <v>297</v>
      </c>
      <c r="F24" s="40"/>
    </row>
    <row r="25" customFormat="false" ht="15" hidden="false" customHeight="false" outlineLevel="0" collapsed="false">
      <c r="A25" s="39" t="s">
        <v>293</v>
      </c>
      <c r="B25" s="39" t="s">
        <v>156</v>
      </c>
      <c r="C25" s="39" t="s">
        <v>154</v>
      </c>
      <c r="D25" s="39" t="s">
        <v>154</v>
      </c>
      <c r="E25" s="42" t="s">
        <v>298</v>
      </c>
      <c r="F25" s="40"/>
    </row>
    <row r="26" customFormat="false" ht="22.35" hidden="false" customHeight="false" outlineLevel="0" collapsed="false">
      <c r="A26" s="39" t="s">
        <v>293</v>
      </c>
      <c r="B26" s="39" t="s">
        <v>156</v>
      </c>
      <c r="C26" s="39" t="s">
        <v>154</v>
      </c>
      <c r="D26" s="39" t="s">
        <v>154</v>
      </c>
      <c r="E26" s="42" t="s">
        <v>299</v>
      </c>
      <c r="F26" s="40"/>
    </row>
    <row r="27" customFormat="false" ht="15" hidden="false" customHeight="false" outlineLevel="0" collapsed="false">
      <c r="A27" s="39" t="s">
        <v>293</v>
      </c>
      <c r="B27" s="39" t="s">
        <v>156</v>
      </c>
      <c r="C27" s="39" t="s">
        <v>154</v>
      </c>
      <c r="D27" s="39" t="s">
        <v>154</v>
      </c>
      <c r="E27" s="42" t="s">
        <v>300</v>
      </c>
      <c r="F27" s="40"/>
    </row>
    <row r="28" customFormat="false" ht="15" hidden="false" customHeight="false" outlineLevel="0" collapsed="false">
      <c r="A28" s="39" t="s">
        <v>293</v>
      </c>
      <c r="B28" s="39" t="s">
        <v>156</v>
      </c>
      <c r="C28" s="39" t="s">
        <v>154</v>
      </c>
      <c r="D28" s="39" t="s">
        <v>154</v>
      </c>
      <c r="E28" s="42" t="s">
        <v>301</v>
      </c>
      <c r="F28" s="40"/>
    </row>
    <row r="29" customFormat="false" ht="22.35" hidden="false" customHeight="false" outlineLevel="0" collapsed="false">
      <c r="A29" s="39" t="s">
        <v>293</v>
      </c>
      <c r="B29" s="39" t="s">
        <v>156</v>
      </c>
      <c r="C29" s="39" t="s">
        <v>154</v>
      </c>
      <c r="D29" s="39" t="s">
        <v>154</v>
      </c>
      <c r="E29" s="42" t="s">
        <v>302</v>
      </c>
      <c r="F29" s="40"/>
    </row>
    <row r="30" customFormat="false" ht="22.35" hidden="false" customHeight="false" outlineLevel="0" collapsed="false">
      <c r="A30" s="39" t="s">
        <v>293</v>
      </c>
      <c r="B30" s="39" t="s">
        <v>153</v>
      </c>
      <c r="C30" s="39" t="s">
        <v>154</v>
      </c>
      <c r="D30" s="39" t="s">
        <v>154</v>
      </c>
      <c r="E30" s="42" t="s">
        <v>303</v>
      </c>
      <c r="F30" s="40"/>
    </row>
    <row r="31" customFormat="false" ht="15" hidden="false" customHeight="false" outlineLevel="0" collapsed="false">
      <c r="A31" s="39" t="s">
        <v>293</v>
      </c>
      <c r="B31" s="39" t="s">
        <v>153</v>
      </c>
      <c r="C31" s="39" t="s">
        <v>154</v>
      </c>
      <c r="D31" s="39" t="s">
        <v>154</v>
      </c>
      <c r="E31" s="42" t="s">
        <v>304</v>
      </c>
      <c r="F31" s="40"/>
    </row>
    <row r="32" customFormat="false" ht="22.35" hidden="false" customHeight="false" outlineLevel="0" collapsed="false">
      <c r="A32" s="39" t="s">
        <v>293</v>
      </c>
      <c r="B32" s="39" t="s">
        <v>148</v>
      </c>
      <c r="C32" s="39" t="s">
        <v>154</v>
      </c>
      <c r="D32" s="39" t="s">
        <v>154</v>
      </c>
      <c r="E32" s="42" t="s">
        <v>305</v>
      </c>
      <c r="F32" s="40"/>
    </row>
    <row r="33" customFormat="false" ht="22.35" hidden="false" customHeight="false" outlineLevel="0" collapsed="false">
      <c r="A33" s="39" t="s">
        <v>293</v>
      </c>
      <c r="B33" s="39" t="s">
        <v>153</v>
      </c>
      <c r="C33" s="39" t="s">
        <v>154</v>
      </c>
      <c r="D33" s="39" t="s">
        <v>154</v>
      </c>
      <c r="E33" s="42" t="s">
        <v>306</v>
      </c>
      <c r="F33" s="40"/>
    </row>
    <row r="34" customFormat="false" ht="22.35" hidden="false" customHeight="false" outlineLevel="0" collapsed="false">
      <c r="A34" s="39" t="s">
        <v>293</v>
      </c>
      <c r="B34" s="39" t="s">
        <v>156</v>
      </c>
      <c r="C34" s="39" t="s">
        <v>154</v>
      </c>
      <c r="D34" s="39" t="s">
        <v>154</v>
      </c>
      <c r="E34" s="42" t="s">
        <v>307</v>
      </c>
      <c r="F34" s="40"/>
    </row>
    <row r="35" customFormat="false" ht="22.35" hidden="false" customHeight="false" outlineLevel="0" collapsed="false">
      <c r="A35" s="39" t="s">
        <v>293</v>
      </c>
      <c r="B35" s="39" t="s">
        <v>153</v>
      </c>
      <c r="C35" s="39" t="s">
        <v>154</v>
      </c>
      <c r="D35" s="39" t="s">
        <v>154</v>
      </c>
      <c r="E35" s="42" t="s">
        <v>308</v>
      </c>
      <c r="F35" s="40"/>
    </row>
    <row r="36" customFormat="false" ht="22.35" hidden="false" customHeight="false" outlineLevel="0" collapsed="false">
      <c r="A36" s="39" t="s">
        <v>293</v>
      </c>
      <c r="B36" s="39" t="s">
        <v>153</v>
      </c>
      <c r="C36" s="39" t="s">
        <v>154</v>
      </c>
      <c r="D36" s="39" t="s">
        <v>154</v>
      </c>
      <c r="E36" s="42" t="s">
        <v>309</v>
      </c>
      <c r="F36" s="40"/>
    </row>
    <row r="37" customFormat="false" ht="22.35" hidden="false" customHeight="false" outlineLevel="0" collapsed="false">
      <c r="A37" s="39" t="s">
        <v>293</v>
      </c>
      <c r="B37" s="39" t="s">
        <v>153</v>
      </c>
      <c r="C37" s="39" t="s">
        <v>154</v>
      </c>
      <c r="D37" s="39" t="s">
        <v>154</v>
      </c>
      <c r="E37" s="42" t="s">
        <v>310</v>
      </c>
      <c r="F37" s="40"/>
    </row>
    <row r="38" customFormat="false" ht="22.35" hidden="false" customHeight="false" outlineLevel="0" collapsed="false">
      <c r="A38" s="39" t="s">
        <v>293</v>
      </c>
      <c r="B38" s="39" t="s">
        <v>153</v>
      </c>
      <c r="C38" s="39" t="s">
        <v>154</v>
      </c>
      <c r="D38" s="39" t="s">
        <v>154</v>
      </c>
      <c r="E38" s="42" t="s">
        <v>311</v>
      </c>
      <c r="F38" s="40"/>
    </row>
    <row r="39" customFormat="false" ht="22.35" hidden="false" customHeight="false" outlineLevel="0" collapsed="false">
      <c r="A39" s="39" t="s">
        <v>293</v>
      </c>
      <c r="B39" s="39" t="s">
        <v>153</v>
      </c>
      <c r="C39" s="39" t="s">
        <v>154</v>
      </c>
      <c r="D39" s="39" t="s">
        <v>154</v>
      </c>
      <c r="E39" s="42" t="s">
        <v>312</v>
      </c>
      <c r="F39" s="40"/>
    </row>
    <row r="40" customFormat="false" ht="22.35" hidden="false" customHeight="false" outlineLevel="0" collapsed="false">
      <c r="A40" s="39" t="s">
        <v>293</v>
      </c>
      <c r="B40" s="39" t="s">
        <v>153</v>
      </c>
      <c r="C40" s="39" t="s">
        <v>154</v>
      </c>
      <c r="D40" s="39" t="s">
        <v>154</v>
      </c>
      <c r="E40" s="42" t="s">
        <v>313</v>
      </c>
      <c r="F40" s="40"/>
    </row>
    <row r="41" customFormat="false" ht="15" hidden="false" customHeight="false" outlineLevel="0" collapsed="false">
      <c r="A41" s="39" t="s">
        <v>293</v>
      </c>
      <c r="B41" s="39" t="s">
        <v>153</v>
      </c>
      <c r="C41" s="39" t="s">
        <v>154</v>
      </c>
      <c r="D41" s="39" t="s">
        <v>154</v>
      </c>
      <c r="E41" s="42" t="s">
        <v>314</v>
      </c>
      <c r="F41" s="40"/>
    </row>
    <row r="42" customFormat="false" ht="15" hidden="false" customHeight="false" outlineLevel="0" collapsed="false">
      <c r="A42" s="39" t="s">
        <v>293</v>
      </c>
      <c r="B42" s="39" t="s">
        <v>153</v>
      </c>
      <c r="C42" s="39" t="s">
        <v>154</v>
      </c>
      <c r="D42" s="39" t="s">
        <v>154</v>
      </c>
      <c r="E42" s="42" t="s">
        <v>315</v>
      </c>
      <c r="F42" s="40"/>
    </row>
    <row r="43" customFormat="false" ht="22.35" hidden="false" customHeight="false" outlineLevel="0" collapsed="false">
      <c r="A43" s="39" t="s">
        <v>293</v>
      </c>
      <c r="B43" s="39" t="s">
        <v>153</v>
      </c>
      <c r="C43" s="39" t="s">
        <v>154</v>
      </c>
      <c r="D43" s="39" t="s">
        <v>154</v>
      </c>
      <c r="E43" s="42" t="s">
        <v>316</v>
      </c>
      <c r="F43" s="40"/>
    </row>
    <row r="44" customFormat="false" ht="22.35" hidden="false" customHeight="false" outlineLevel="0" collapsed="false">
      <c r="A44" s="39" t="s">
        <v>293</v>
      </c>
      <c r="B44" s="39" t="s">
        <v>156</v>
      </c>
      <c r="C44" s="39" t="s">
        <v>154</v>
      </c>
      <c r="D44" s="39" t="s">
        <v>154</v>
      </c>
      <c r="E44" s="42" t="s">
        <v>317</v>
      </c>
      <c r="F44" s="40"/>
    </row>
    <row r="45" customFormat="false" ht="22.35" hidden="false" customHeight="false" outlineLevel="0" collapsed="false">
      <c r="A45" s="39" t="s">
        <v>293</v>
      </c>
      <c r="B45" s="39" t="s">
        <v>156</v>
      </c>
      <c r="C45" s="39" t="s">
        <v>154</v>
      </c>
      <c r="D45" s="39" t="s">
        <v>154</v>
      </c>
      <c r="E45" s="42" t="s">
        <v>318</v>
      </c>
      <c r="F45" s="40"/>
    </row>
    <row r="46" customFormat="false" ht="22.35" hidden="false" customHeight="false" outlineLevel="0" collapsed="false">
      <c r="A46" s="39" t="s">
        <v>293</v>
      </c>
      <c r="B46" s="39" t="s">
        <v>156</v>
      </c>
      <c r="C46" s="39" t="s">
        <v>154</v>
      </c>
      <c r="D46" s="39" t="s">
        <v>154</v>
      </c>
      <c r="E46" s="42" t="s">
        <v>319</v>
      </c>
      <c r="F46" s="40"/>
    </row>
    <row r="47" customFormat="false" ht="22.35" hidden="false" customHeight="false" outlineLevel="0" collapsed="false">
      <c r="A47" s="39" t="s">
        <v>293</v>
      </c>
      <c r="B47" s="39" t="s">
        <v>153</v>
      </c>
      <c r="C47" s="39" t="s">
        <v>154</v>
      </c>
      <c r="D47" s="39" t="s">
        <v>154</v>
      </c>
      <c r="E47" s="42" t="s">
        <v>320</v>
      </c>
      <c r="F47" s="40"/>
    </row>
    <row r="48" customFormat="false" ht="15" hidden="false" customHeight="false" outlineLevel="0" collapsed="false">
      <c r="A48" s="39" t="s">
        <v>321</v>
      </c>
      <c r="B48" s="39" t="s">
        <v>151</v>
      </c>
      <c r="C48" s="39" t="s">
        <v>152</v>
      </c>
      <c r="D48" s="39" t="n">
        <v>92</v>
      </c>
      <c r="E48" s="42" t="s">
        <v>322</v>
      </c>
      <c r="F48" s="40"/>
    </row>
    <row r="49" customFormat="false" ht="15" hidden="false" customHeight="false" outlineLevel="0" collapsed="false">
      <c r="A49" s="39" t="s">
        <v>321</v>
      </c>
      <c r="B49" s="39" t="s">
        <v>151</v>
      </c>
      <c r="C49" s="39" t="s">
        <v>152</v>
      </c>
      <c r="D49" s="39" t="n">
        <v>93</v>
      </c>
      <c r="E49" s="42" t="s">
        <v>322</v>
      </c>
      <c r="F49" s="40"/>
    </row>
    <row r="50" customFormat="false" ht="15" hidden="false" customHeight="false" outlineLevel="0" collapsed="false">
      <c r="A50" s="39" t="s">
        <v>321</v>
      </c>
      <c r="B50" s="39" t="s">
        <v>153</v>
      </c>
      <c r="C50" s="39" t="s">
        <v>154</v>
      </c>
      <c r="D50" s="39" t="n">
        <v>226</v>
      </c>
      <c r="E50" s="42" t="s">
        <v>322</v>
      </c>
      <c r="F50" s="40"/>
    </row>
    <row r="51" customFormat="false" ht="15" hidden="false" customHeight="false" outlineLevel="0" collapsed="false">
      <c r="A51" s="39" t="s">
        <v>323</v>
      </c>
      <c r="B51" s="39" t="s">
        <v>156</v>
      </c>
      <c r="C51" s="39" t="s">
        <v>324</v>
      </c>
      <c r="D51" s="39" t="s">
        <v>154</v>
      </c>
      <c r="E51" s="42" t="s">
        <v>325</v>
      </c>
      <c r="F51" s="40"/>
    </row>
    <row r="52" customFormat="false" ht="15" hidden="false" customHeight="false" outlineLevel="0" collapsed="false">
      <c r="A52" s="39" t="s">
        <v>323</v>
      </c>
      <c r="B52" s="39" t="s">
        <v>156</v>
      </c>
      <c r="C52" s="39" t="s">
        <v>324</v>
      </c>
      <c r="D52" s="39" t="s">
        <v>154</v>
      </c>
      <c r="E52" s="42" t="s">
        <v>326</v>
      </c>
      <c r="F52" s="40"/>
    </row>
    <row r="53" customFormat="false" ht="15" hidden="false" customHeight="false" outlineLevel="0" collapsed="false">
      <c r="A53" s="39" t="s">
        <v>323</v>
      </c>
      <c r="B53" s="39" t="s">
        <v>156</v>
      </c>
      <c r="C53" s="39" t="s">
        <v>324</v>
      </c>
      <c r="D53" s="39" t="s">
        <v>154</v>
      </c>
      <c r="E53" s="42" t="s">
        <v>327</v>
      </c>
      <c r="F53" s="40"/>
    </row>
    <row r="54" customFormat="false" ht="15" hidden="false" customHeight="false" outlineLevel="0" collapsed="false">
      <c r="A54" s="39" t="s">
        <v>321</v>
      </c>
      <c r="B54" s="39" t="s">
        <v>159</v>
      </c>
      <c r="C54" s="39" t="s">
        <v>154</v>
      </c>
      <c r="D54" s="39" t="n">
        <v>36</v>
      </c>
      <c r="E54" s="42" t="s">
        <v>322</v>
      </c>
      <c r="F54" s="40"/>
    </row>
    <row r="55" customFormat="false" ht="15" hidden="false" customHeight="false" outlineLevel="0" collapsed="false">
      <c r="A55" s="39" t="s">
        <v>321</v>
      </c>
      <c r="B55" s="39" t="s">
        <v>159</v>
      </c>
      <c r="C55" s="39" t="s">
        <v>154</v>
      </c>
      <c r="D55" s="39" t="n">
        <v>91</v>
      </c>
      <c r="E55" s="42" t="s">
        <v>322</v>
      </c>
      <c r="F55" s="40"/>
    </row>
    <row r="56" customFormat="false" ht="22.35" hidden="false" customHeight="false" outlineLevel="0" collapsed="false">
      <c r="A56" s="39" t="s">
        <v>293</v>
      </c>
      <c r="B56" s="39" t="s">
        <v>148</v>
      </c>
      <c r="C56" s="39" t="s">
        <v>154</v>
      </c>
      <c r="D56" s="39" t="s">
        <v>154</v>
      </c>
      <c r="E56" s="42" t="s">
        <v>328</v>
      </c>
      <c r="F56" s="40"/>
    </row>
    <row r="57" customFormat="false" ht="15" hidden="false" customHeight="false" outlineLevel="0" collapsed="false">
      <c r="A57" s="39" t="s">
        <v>293</v>
      </c>
      <c r="B57" s="39" t="s">
        <v>148</v>
      </c>
      <c r="C57" s="39" t="s">
        <v>154</v>
      </c>
      <c r="D57" s="39" t="s">
        <v>154</v>
      </c>
      <c r="E57" s="42" t="s">
        <v>329</v>
      </c>
      <c r="F57" s="40"/>
    </row>
    <row r="58" customFormat="false" ht="22.35" hidden="false" customHeight="false" outlineLevel="0" collapsed="false">
      <c r="A58" s="39" t="s">
        <v>293</v>
      </c>
      <c r="B58" s="39" t="s">
        <v>156</v>
      </c>
      <c r="C58" s="39" t="s">
        <v>154</v>
      </c>
      <c r="D58" s="39" t="s">
        <v>154</v>
      </c>
      <c r="E58" s="42" t="s">
        <v>330</v>
      </c>
      <c r="F58" s="40"/>
    </row>
    <row r="59" customFormat="false" ht="15" hidden="false" customHeight="false" outlineLevel="0" collapsed="false">
      <c r="A59" s="39" t="s">
        <v>293</v>
      </c>
      <c r="B59" s="39" t="s">
        <v>156</v>
      </c>
      <c r="C59" s="39" t="s">
        <v>154</v>
      </c>
      <c r="D59" s="39" t="s">
        <v>154</v>
      </c>
      <c r="E59" s="42" t="s">
        <v>331</v>
      </c>
      <c r="F59" s="40"/>
    </row>
    <row r="60" customFormat="false" ht="22.35" hidden="false" customHeight="false" outlineLevel="0" collapsed="false">
      <c r="A60" s="39" t="s">
        <v>293</v>
      </c>
      <c r="B60" s="39" t="s">
        <v>156</v>
      </c>
      <c r="C60" s="39" t="s">
        <v>154</v>
      </c>
      <c r="D60" s="39" t="s">
        <v>154</v>
      </c>
      <c r="E60" s="42" t="s">
        <v>332</v>
      </c>
      <c r="F60" s="40"/>
    </row>
    <row r="61" customFormat="false" ht="22.35" hidden="false" customHeight="false" outlineLevel="0" collapsed="false">
      <c r="A61" s="39" t="s">
        <v>293</v>
      </c>
      <c r="B61" s="39" t="s">
        <v>156</v>
      </c>
      <c r="C61" s="39" t="s">
        <v>154</v>
      </c>
      <c r="D61" s="39" t="s">
        <v>154</v>
      </c>
      <c r="E61" s="42" t="s">
        <v>333</v>
      </c>
      <c r="F61" s="40"/>
    </row>
    <row r="62" customFormat="false" ht="22.35" hidden="false" customHeight="false" outlineLevel="0" collapsed="false">
      <c r="A62" s="39" t="s">
        <v>293</v>
      </c>
      <c r="B62" s="39" t="s">
        <v>156</v>
      </c>
      <c r="C62" s="39" t="s">
        <v>154</v>
      </c>
      <c r="D62" s="39" t="s">
        <v>154</v>
      </c>
      <c r="E62" s="42" t="s">
        <v>334</v>
      </c>
      <c r="F62" s="40"/>
    </row>
    <row r="63" customFormat="false" ht="15" hidden="false" customHeight="false" outlineLevel="0" collapsed="false">
      <c r="A63" s="39" t="s">
        <v>293</v>
      </c>
      <c r="B63" s="39" t="s">
        <v>156</v>
      </c>
      <c r="C63" s="39" t="s">
        <v>154</v>
      </c>
      <c r="D63" s="39" t="s">
        <v>154</v>
      </c>
      <c r="E63" s="42" t="s">
        <v>335</v>
      </c>
      <c r="F63" s="40"/>
    </row>
    <row r="64" customFormat="false" ht="22.35" hidden="false" customHeight="false" outlineLevel="0" collapsed="false">
      <c r="A64" s="39" t="s">
        <v>293</v>
      </c>
      <c r="B64" s="39" t="s">
        <v>156</v>
      </c>
      <c r="C64" s="39" t="s">
        <v>154</v>
      </c>
      <c r="D64" s="39" t="s">
        <v>154</v>
      </c>
      <c r="E64" s="42" t="s">
        <v>336</v>
      </c>
      <c r="F64" s="40"/>
    </row>
    <row r="65" customFormat="false" ht="15" hidden="false" customHeight="false" outlineLevel="0" collapsed="false">
      <c r="A65" s="39" t="s">
        <v>293</v>
      </c>
      <c r="B65" s="39" t="s">
        <v>156</v>
      </c>
      <c r="C65" s="39" t="s">
        <v>154</v>
      </c>
      <c r="D65" s="39" t="s">
        <v>154</v>
      </c>
      <c r="E65" s="42" t="s">
        <v>337</v>
      </c>
      <c r="F65" s="40"/>
    </row>
    <row r="66" customFormat="false" ht="15" hidden="false" customHeight="false" outlineLevel="0" collapsed="false">
      <c r="A66" s="39" t="s">
        <v>293</v>
      </c>
      <c r="B66" s="39" t="s">
        <v>156</v>
      </c>
      <c r="C66" s="39" t="s">
        <v>154</v>
      </c>
      <c r="D66" s="39" t="s">
        <v>154</v>
      </c>
      <c r="E66" s="42" t="s">
        <v>338</v>
      </c>
      <c r="F66" s="40"/>
    </row>
    <row r="67" customFormat="false" ht="15" hidden="false" customHeight="false" outlineLevel="0" collapsed="false">
      <c r="A67" s="39" t="s">
        <v>293</v>
      </c>
      <c r="B67" s="39" t="s">
        <v>156</v>
      </c>
      <c r="C67" s="39" t="s">
        <v>154</v>
      </c>
      <c r="D67" s="39" t="s">
        <v>154</v>
      </c>
      <c r="E67" s="42" t="s">
        <v>339</v>
      </c>
      <c r="F67" s="40"/>
    </row>
    <row r="68" customFormat="false" ht="22.35" hidden="false" customHeight="false" outlineLevel="0" collapsed="false">
      <c r="A68" s="39" t="s">
        <v>293</v>
      </c>
      <c r="B68" s="39" t="s">
        <v>156</v>
      </c>
      <c r="C68" s="39" t="s">
        <v>154</v>
      </c>
      <c r="D68" s="39" t="s">
        <v>154</v>
      </c>
      <c r="E68" s="42" t="s">
        <v>340</v>
      </c>
      <c r="F68" s="40"/>
    </row>
    <row r="69" customFormat="false" ht="15" hidden="false" customHeight="false" outlineLevel="0" collapsed="false">
      <c r="A69" s="39" t="s">
        <v>293</v>
      </c>
      <c r="B69" s="39" t="s">
        <v>153</v>
      </c>
      <c r="C69" s="39" t="s">
        <v>154</v>
      </c>
      <c r="D69" s="39" t="s">
        <v>154</v>
      </c>
      <c r="E69" s="42" t="s">
        <v>341</v>
      </c>
      <c r="F69" s="40"/>
    </row>
    <row r="70" customFormat="false" ht="15" hidden="false" customHeight="false" outlineLevel="0" collapsed="false">
      <c r="A70" s="39" t="s">
        <v>293</v>
      </c>
      <c r="B70" s="39" t="s">
        <v>153</v>
      </c>
      <c r="C70" s="39" t="s">
        <v>154</v>
      </c>
      <c r="D70" s="39" t="s">
        <v>154</v>
      </c>
      <c r="E70" s="42" t="s">
        <v>342</v>
      </c>
      <c r="F70" s="40"/>
    </row>
    <row r="71" customFormat="false" ht="22.35" hidden="false" customHeight="false" outlineLevel="0" collapsed="false">
      <c r="A71" s="39" t="s">
        <v>293</v>
      </c>
      <c r="B71" s="39" t="s">
        <v>148</v>
      </c>
      <c r="C71" s="39" t="s">
        <v>154</v>
      </c>
      <c r="D71" s="39" t="s">
        <v>154</v>
      </c>
      <c r="E71" s="42" t="s">
        <v>343</v>
      </c>
      <c r="F71" s="40"/>
    </row>
    <row r="72" customFormat="false" ht="15" hidden="false" customHeight="false" outlineLevel="0" collapsed="false">
      <c r="A72" s="39" t="s">
        <v>293</v>
      </c>
      <c r="B72" s="39" t="s">
        <v>153</v>
      </c>
      <c r="C72" s="39" t="s">
        <v>154</v>
      </c>
      <c r="D72" s="39" t="s">
        <v>154</v>
      </c>
      <c r="E72" s="42" t="s">
        <v>344</v>
      </c>
      <c r="F72" s="40"/>
    </row>
    <row r="73" customFormat="false" ht="15" hidden="false" customHeight="false" outlineLevel="0" collapsed="false">
      <c r="A73" s="39" t="s">
        <v>293</v>
      </c>
      <c r="B73" s="39" t="s">
        <v>151</v>
      </c>
      <c r="C73" s="39" t="s">
        <v>154</v>
      </c>
      <c r="D73" s="39" t="s">
        <v>154</v>
      </c>
      <c r="E73" s="42" t="s">
        <v>345</v>
      </c>
      <c r="F73" s="40"/>
    </row>
    <row r="74" customFormat="false" ht="22.35" hidden="false" customHeight="false" outlineLevel="0" collapsed="false">
      <c r="A74" s="39" t="s">
        <v>293</v>
      </c>
      <c r="B74" s="39" t="s">
        <v>151</v>
      </c>
      <c r="C74" s="39" t="s">
        <v>154</v>
      </c>
      <c r="D74" s="39" t="s">
        <v>154</v>
      </c>
      <c r="E74" s="42" t="s">
        <v>346</v>
      </c>
      <c r="F74" s="40"/>
    </row>
    <row r="75" customFormat="false" ht="22.35" hidden="false" customHeight="false" outlineLevel="0" collapsed="false">
      <c r="A75" s="39" t="s">
        <v>293</v>
      </c>
      <c r="B75" s="39" t="s">
        <v>151</v>
      </c>
      <c r="C75" s="39" t="s">
        <v>154</v>
      </c>
      <c r="D75" s="39" t="s">
        <v>154</v>
      </c>
      <c r="E75" s="42" t="s">
        <v>347</v>
      </c>
      <c r="F75" s="40"/>
    </row>
    <row r="76" customFormat="false" ht="22.35" hidden="false" customHeight="false" outlineLevel="0" collapsed="false">
      <c r="A76" s="39" t="s">
        <v>293</v>
      </c>
      <c r="B76" s="39" t="s">
        <v>148</v>
      </c>
      <c r="C76" s="39" t="s">
        <v>154</v>
      </c>
      <c r="D76" s="39" t="s">
        <v>154</v>
      </c>
      <c r="E76" s="42" t="s">
        <v>348</v>
      </c>
      <c r="F76" s="40"/>
    </row>
    <row r="77" customFormat="false" ht="22.35" hidden="false" customHeight="false" outlineLevel="0" collapsed="false">
      <c r="A77" s="39" t="s">
        <v>293</v>
      </c>
      <c r="B77" s="39" t="s">
        <v>148</v>
      </c>
      <c r="C77" s="39" t="s">
        <v>154</v>
      </c>
      <c r="D77" s="39" t="s">
        <v>154</v>
      </c>
      <c r="E77" s="42" t="s">
        <v>349</v>
      </c>
      <c r="F77" s="40"/>
    </row>
    <row r="78" customFormat="false" ht="22.35" hidden="false" customHeight="false" outlineLevel="0" collapsed="false">
      <c r="A78" s="39" t="s">
        <v>293</v>
      </c>
      <c r="B78" s="39" t="s">
        <v>148</v>
      </c>
      <c r="C78" s="39" t="s">
        <v>154</v>
      </c>
      <c r="D78" s="39" t="s">
        <v>154</v>
      </c>
      <c r="E78" s="42" t="s">
        <v>350</v>
      </c>
      <c r="F78" s="40"/>
    </row>
    <row r="79" customFormat="false" ht="22.35" hidden="false" customHeight="false" outlineLevel="0" collapsed="false">
      <c r="A79" s="39" t="s">
        <v>293</v>
      </c>
      <c r="B79" s="39" t="s">
        <v>148</v>
      </c>
      <c r="C79" s="39" t="s">
        <v>154</v>
      </c>
      <c r="D79" s="39" t="s">
        <v>154</v>
      </c>
      <c r="E79" s="42" t="s">
        <v>351</v>
      </c>
      <c r="F79" s="40"/>
    </row>
    <row r="80" customFormat="false" ht="22.35" hidden="false" customHeight="false" outlineLevel="0" collapsed="false">
      <c r="A80" s="39" t="s">
        <v>293</v>
      </c>
      <c r="B80" s="39" t="s">
        <v>148</v>
      </c>
      <c r="C80" s="39" t="s">
        <v>154</v>
      </c>
      <c r="D80" s="39" t="s">
        <v>154</v>
      </c>
      <c r="E80" s="42" t="s">
        <v>352</v>
      </c>
      <c r="F80" s="40"/>
    </row>
    <row r="81" customFormat="false" ht="15" hidden="false" customHeight="false" outlineLevel="0" collapsed="false">
      <c r="A81" s="39" t="s">
        <v>293</v>
      </c>
      <c r="B81" s="39" t="s">
        <v>148</v>
      </c>
      <c r="C81" s="39" t="s">
        <v>154</v>
      </c>
      <c r="D81" s="39" t="s">
        <v>154</v>
      </c>
      <c r="E81" s="42" t="s">
        <v>353</v>
      </c>
      <c r="F81" s="40"/>
    </row>
    <row r="82" customFormat="false" ht="15" hidden="false" customHeight="false" outlineLevel="0" collapsed="false">
      <c r="A82" s="39" t="s">
        <v>293</v>
      </c>
      <c r="B82" s="39" t="s">
        <v>148</v>
      </c>
      <c r="C82" s="39" t="s">
        <v>154</v>
      </c>
      <c r="D82" s="39" t="s">
        <v>154</v>
      </c>
      <c r="E82" s="42" t="s">
        <v>354</v>
      </c>
      <c r="F82" s="40"/>
    </row>
    <row r="83" customFormat="false" ht="22.35" hidden="false" customHeight="false" outlineLevel="0" collapsed="false">
      <c r="A83" s="39" t="s">
        <v>293</v>
      </c>
      <c r="B83" s="39" t="s">
        <v>148</v>
      </c>
      <c r="C83" s="39" t="s">
        <v>154</v>
      </c>
      <c r="D83" s="39" t="s">
        <v>154</v>
      </c>
      <c r="E83" s="42" t="s">
        <v>355</v>
      </c>
      <c r="F83" s="40"/>
    </row>
    <row r="84" customFormat="false" ht="15" hidden="false" customHeight="false" outlineLevel="0" collapsed="false">
      <c r="A84" s="39" t="s">
        <v>293</v>
      </c>
      <c r="B84" s="39" t="s">
        <v>148</v>
      </c>
      <c r="C84" s="39" t="s">
        <v>154</v>
      </c>
      <c r="D84" s="39" t="s">
        <v>154</v>
      </c>
      <c r="E84" s="42" t="s">
        <v>356</v>
      </c>
      <c r="F84" s="40"/>
    </row>
    <row r="85" customFormat="false" ht="15" hidden="false" customHeight="false" outlineLevel="0" collapsed="false">
      <c r="A85" s="39" t="s">
        <v>293</v>
      </c>
      <c r="B85" s="39" t="s">
        <v>148</v>
      </c>
      <c r="C85" s="39" t="s">
        <v>154</v>
      </c>
      <c r="D85" s="39" t="s">
        <v>154</v>
      </c>
      <c r="E85" s="42" t="s">
        <v>357</v>
      </c>
      <c r="F85" s="40"/>
    </row>
    <row r="86" customFormat="false" ht="22.35" hidden="false" customHeight="false" outlineLevel="0" collapsed="false">
      <c r="A86" s="39" t="s">
        <v>293</v>
      </c>
      <c r="B86" s="39" t="s">
        <v>148</v>
      </c>
      <c r="C86" s="39" t="s">
        <v>154</v>
      </c>
      <c r="D86" s="39" t="s">
        <v>154</v>
      </c>
      <c r="E86" s="42" t="s">
        <v>358</v>
      </c>
      <c r="F86" s="40"/>
    </row>
    <row r="87" customFormat="false" ht="15" hidden="false" customHeight="false" outlineLevel="0" collapsed="false">
      <c r="A87" s="39" t="s">
        <v>293</v>
      </c>
      <c r="B87" s="39" t="s">
        <v>148</v>
      </c>
      <c r="C87" s="39" t="s">
        <v>154</v>
      </c>
      <c r="D87" s="39" t="s">
        <v>154</v>
      </c>
      <c r="E87" s="42" t="s">
        <v>359</v>
      </c>
      <c r="F87" s="40"/>
    </row>
    <row r="88" customFormat="false" ht="15" hidden="false" customHeight="false" outlineLevel="0" collapsed="false">
      <c r="A88" s="39" t="s">
        <v>293</v>
      </c>
      <c r="B88" s="39" t="s">
        <v>148</v>
      </c>
      <c r="C88" s="39" t="s">
        <v>154</v>
      </c>
      <c r="D88" s="39" t="s">
        <v>154</v>
      </c>
      <c r="E88" s="42" t="s">
        <v>360</v>
      </c>
      <c r="F88" s="40"/>
    </row>
    <row r="89" customFormat="false" ht="22.35" hidden="false" customHeight="false" outlineLevel="0" collapsed="false">
      <c r="A89" s="39" t="s">
        <v>293</v>
      </c>
      <c r="B89" s="39" t="s">
        <v>148</v>
      </c>
      <c r="C89" s="39" t="s">
        <v>154</v>
      </c>
      <c r="D89" s="39" t="s">
        <v>154</v>
      </c>
      <c r="E89" s="42" t="s">
        <v>361</v>
      </c>
      <c r="F89" s="40"/>
    </row>
    <row r="90" customFormat="false" ht="22.35" hidden="false" customHeight="false" outlineLevel="0" collapsed="false">
      <c r="A90" s="39" t="s">
        <v>293</v>
      </c>
      <c r="B90" s="39" t="s">
        <v>148</v>
      </c>
      <c r="C90" s="39" t="s">
        <v>154</v>
      </c>
      <c r="D90" s="39" t="s">
        <v>154</v>
      </c>
      <c r="E90" s="42" t="s">
        <v>362</v>
      </c>
      <c r="F90" s="40"/>
    </row>
    <row r="91" customFormat="false" ht="22.35" hidden="false" customHeight="false" outlineLevel="0" collapsed="false">
      <c r="A91" s="39" t="s">
        <v>293</v>
      </c>
      <c r="B91" s="39" t="s">
        <v>148</v>
      </c>
      <c r="C91" s="39" t="s">
        <v>154</v>
      </c>
      <c r="D91" s="39" t="s">
        <v>154</v>
      </c>
      <c r="E91" s="42" t="s">
        <v>363</v>
      </c>
      <c r="F91" s="40"/>
    </row>
    <row r="92" customFormat="false" ht="15" hidden="false" customHeight="false" outlineLevel="0" collapsed="false">
      <c r="A92" s="39" t="s">
        <v>293</v>
      </c>
      <c r="B92" s="39" t="s">
        <v>148</v>
      </c>
      <c r="C92" s="39" t="s">
        <v>154</v>
      </c>
      <c r="D92" s="39" t="s">
        <v>154</v>
      </c>
      <c r="E92" s="42" t="s">
        <v>364</v>
      </c>
      <c r="F92" s="40"/>
    </row>
    <row r="93" customFormat="false" ht="15" hidden="false" customHeight="false" outlineLevel="0" collapsed="false">
      <c r="A93" s="39" t="s">
        <v>293</v>
      </c>
      <c r="B93" s="39" t="s">
        <v>148</v>
      </c>
      <c r="C93" s="39" t="s">
        <v>154</v>
      </c>
      <c r="D93" s="39" t="s">
        <v>154</v>
      </c>
      <c r="E93" s="42" t="s">
        <v>365</v>
      </c>
      <c r="F93" s="40"/>
    </row>
    <row r="94" customFormat="false" ht="22.35" hidden="false" customHeight="false" outlineLevel="0" collapsed="false">
      <c r="A94" s="39" t="s">
        <v>293</v>
      </c>
      <c r="B94" s="39" t="s">
        <v>148</v>
      </c>
      <c r="C94" s="39" t="s">
        <v>154</v>
      </c>
      <c r="D94" s="39" t="s">
        <v>154</v>
      </c>
      <c r="E94" s="42" t="s">
        <v>366</v>
      </c>
      <c r="F94" s="40"/>
    </row>
    <row r="95" customFormat="false" ht="15" hidden="false" customHeight="false" outlineLevel="0" collapsed="false">
      <c r="A95" s="39" t="s">
        <v>293</v>
      </c>
      <c r="B95" s="39" t="s">
        <v>148</v>
      </c>
      <c r="C95" s="39" t="s">
        <v>154</v>
      </c>
      <c r="D95" s="39" t="s">
        <v>154</v>
      </c>
      <c r="E95" s="42" t="s">
        <v>367</v>
      </c>
      <c r="F95" s="40"/>
    </row>
    <row r="96" customFormat="false" ht="22.35" hidden="false" customHeight="false" outlineLevel="0" collapsed="false">
      <c r="A96" s="39" t="s">
        <v>293</v>
      </c>
      <c r="B96" s="39" t="s">
        <v>151</v>
      </c>
      <c r="C96" s="39" t="s">
        <v>154</v>
      </c>
      <c r="D96" s="39" t="s">
        <v>154</v>
      </c>
      <c r="E96" s="42" t="s">
        <v>368</v>
      </c>
      <c r="F96" s="40"/>
    </row>
    <row r="97" customFormat="false" ht="22.35" hidden="false" customHeight="false" outlineLevel="0" collapsed="false">
      <c r="A97" s="39" t="s">
        <v>293</v>
      </c>
      <c r="B97" s="39" t="s">
        <v>151</v>
      </c>
      <c r="C97" s="39" t="s">
        <v>154</v>
      </c>
      <c r="D97" s="39" t="s">
        <v>154</v>
      </c>
      <c r="E97" s="42" t="s">
        <v>369</v>
      </c>
      <c r="F97" s="40"/>
    </row>
    <row r="98" customFormat="false" ht="15" hidden="false" customHeight="false" outlineLevel="0" collapsed="false">
      <c r="A98" s="39" t="s">
        <v>293</v>
      </c>
      <c r="B98" s="39" t="s">
        <v>151</v>
      </c>
      <c r="C98" s="39" t="s">
        <v>154</v>
      </c>
      <c r="D98" s="39" t="s">
        <v>154</v>
      </c>
      <c r="E98" s="42" t="s">
        <v>370</v>
      </c>
      <c r="F98" s="40"/>
    </row>
    <row r="99" customFormat="false" ht="22.35" hidden="false" customHeight="false" outlineLevel="0" collapsed="false">
      <c r="A99" s="39" t="s">
        <v>293</v>
      </c>
      <c r="B99" s="39" t="s">
        <v>151</v>
      </c>
      <c r="C99" s="39" t="s">
        <v>154</v>
      </c>
      <c r="D99" s="39" t="s">
        <v>154</v>
      </c>
      <c r="E99" s="42" t="s">
        <v>371</v>
      </c>
      <c r="F99" s="40"/>
    </row>
    <row r="100" customFormat="false" ht="22.35" hidden="false" customHeight="false" outlineLevel="0" collapsed="false">
      <c r="A100" s="39" t="s">
        <v>293</v>
      </c>
      <c r="B100" s="39" t="s">
        <v>153</v>
      </c>
      <c r="C100" s="39" t="s">
        <v>154</v>
      </c>
      <c r="D100" s="39" t="s">
        <v>154</v>
      </c>
      <c r="E100" s="42" t="s">
        <v>372</v>
      </c>
      <c r="F100" s="40"/>
    </row>
    <row r="101" customFormat="false" ht="22.35" hidden="false" customHeight="false" outlineLevel="0" collapsed="false">
      <c r="A101" s="39" t="s">
        <v>293</v>
      </c>
      <c r="B101" s="39" t="s">
        <v>153</v>
      </c>
      <c r="C101" s="39" t="s">
        <v>154</v>
      </c>
      <c r="D101" s="39" t="s">
        <v>154</v>
      </c>
      <c r="E101" s="42" t="s">
        <v>373</v>
      </c>
      <c r="F101" s="40"/>
    </row>
    <row r="102" customFormat="false" ht="22.35" hidden="false" customHeight="false" outlineLevel="0" collapsed="false">
      <c r="A102" s="39" t="s">
        <v>293</v>
      </c>
      <c r="B102" s="39" t="s">
        <v>153</v>
      </c>
      <c r="C102" s="39" t="s">
        <v>154</v>
      </c>
      <c r="D102" s="39" t="s">
        <v>154</v>
      </c>
      <c r="E102" s="42" t="s">
        <v>374</v>
      </c>
      <c r="F102" s="40"/>
    </row>
    <row r="103" customFormat="false" ht="15" hidden="false" customHeight="false" outlineLevel="0" collapsed="false">
      <c r="A103" s="39" t="s">
        <v>293</v>
      </c>
      <c r="B103" s="39" t="s">
        <v>153</v>
      </c>
      <c r="C103" s="39" t="s">
        <v>154</v>
      </c>
      <c r="D103" s="39" t="s">
        <v>154</v>
      </c>
      <c r="E103" s="42" t="s">
        <v>375</v>
      </c>
      <c r="F103" s="40"/>
    </row>
    <row r="104" customFormat="false" ht="15" hidden="false" customHeight="false" outlineLevel="0" collapsed="false">
      <c r="A104" s="39" t="s">
        <v>293</v>
      </c>
      <c r="B104" s="39" t="s">
        <v>153</v>
      </c>
      <c r="C104" s="39" t="s">
        <v>154</v>
      </c>
      <c r="D104" s="39" t="s">
        <v>154</v>
      </c>
      <c r="E104" s="42" t="s">
        <v>376</v>
      </c>
      <c r="F104" s="40"/>
    </row>
    <row r="105" customFormat="false" ht="15" hidden="false" customHeight="false" outlineLevel="0" collapsed="false">
      <c r="A105" s="39" t="s">
        <v>293</v>
      </c>
      <c r="B105" s="39" t="s">
        <v>151</v>
      </c>
      <c r="C105" s="39" t="s">
        <v>154</v>
      </c>
      <c r="D105" s="39" t="s">
        <v>154</v>
      </c>
      <c r="E105" s="42" t="s">
        <v>377</v>
      </c>
      <c r="F105" s="40"/>
    </row>
    <row r="106" customFormat="false" ht="22.35" hidden="false" customHeight="false" outlineLevel="0" collapsed="false">
      <c r="A106" s="39" t="s">
        <v>293</v>
      </c>
      <c r="B106" s="39" t="s">
        <v>151</v>
      </c>
      <c r="C106" s="39" t="s">
        <v>154</v>
      </c>
      <c r="D106" s="39" t="s">
        <v>154</v>
      </c>
      <c r="E106" s="42" t="s">
        <v>378</v>
      </c>
      <c r="F106" s="40"/>
    </row>
    <row r="107" customFormat="false" ht="22.35" hidden="false" customHeight="false" outlineLevel="0" collapsed="false">
      <c r="A107" s="39" t="s">
        <v>293</v>
      </c>
      <c r="B107" s="39" t="s">
        <v>151</v>
      </c>
      <c r="C107" s="39" t="s">
        <v>154</v>
      </c>
      <c r="D107" s="39" t="s">
        <v>154</v>
      </c>
      <c r="E107" s="42" t="s">
        <v>379</v>
      </c>
      <c r="F107" s="40"/>
    </row>
    <row r="108" customFormat="false" ht="22.35" hidden="false" customHeight="false" outlineLevel="0" collapsed="false">
      <c r="A108" s="39" t="s">
        <v>293</v>
      </c>
      <c r="B108" s="39" t="s">
        <v>151</v>
      </c>
      <c r="C108" s="39" t="s">
        <v>154</v>
      </c>
      <c r="D108" s="39" t="s">
        <v>154</v>
      </c>
      <c r="E108" s="42" t="s">
        <v>380</v>
      </c>
      <c r="F108" s="40"/>
    </row>
    <row r="109" customFormat="false" ht="22.35" hidden="false" customHeight="false" outlineLevel="0" collapsed="false">
      <c r="A109" s="39" t="s">
        <v>293</v>
      </c>
      <c r="B109" s="39" t="s">
        <v>151</v>
      </c>
      <c r="C109" s="39" t="s">
        <v>154</v>
      </c>
      <c r="D109" s="39" t="s">
        <v>154</v>
      </c>
      <c r="E109" s="42" t="s">
        <v>381</v>
      </c>
      <c r="F109" s="40"/>
    </row>
    <row r="110" customFormat="false" ht="22.35" hidden="false" customHeight="false" outlineLevel="0" collapsed="false">
      <c r="A110" s="39" t="s">
        <v>293</v>
      </c>
      <c r="B110" s="39" t="s">
        <v>151</v>
      </c>
      <c r="C110" s="39" t="s">
        <v>154</v>
      </c>
      <c r="D110" s="39" t="s">
        <v>154</v>
      </c>
      <c r="E110" s="42" t="s">
        <v>382</v>
      </c>
      <c r="F110" s="40"/>
    </row>
    <row r="111" customFormat="false" ht="22.35" hidden="false" customHeight="false" outlineLevel="0" collapsed="false">
      <c r="A111" s="39" t="s">
        <v>293</v>
      </c>
      <c r="B111" s="39" t="s">
        <v>151</v>
      </c>
      <c r="C111" s="39" t="s">
        <v>154</v>
      </c>
      <c r="D111" s="39" t="s">
        <v>154</v>
      </c>
      <c r="E111" s="42" t="s">
        <v>383</v>
      </c>
      <c r="F111" s="40"/>
    </row>
    <row r="112" customFormat="false" ht="22.35" hidden="false" customHeight="false" outlineLevel="0" collapsed="false">
      <c r="A112" s="39" t="s">
        <v>293</v>
      </c>
      <c r="B112" s="39" t="s">
        <v>151</v>
      </c>
      <c r="C112" s="39" t="s">
        <v>154</v>
      </c>
      <c r="D112" s="39" t="s">
        <v>154</v>
      </c>
      <c r="E112" s="42" t="s">
        <v>384</v>
      </c>
      <c r="F112" s="40"/>
    </row>
    <row r="113" customFormat="false" ht="22.35" hidden="false" customHeight="false" outlineLevel="0" collapsed="false">
      <c r="A113" s="39" t="s">
        <v>293</v>
      </c>
      <c r="B113" s="39" t="s">
        <v>151</v>
      </c>
      <c r="C113" s="39" t="s">
        <v>154</v>
      </c>
      <c r="D113" s="39" t="s">
        <v>154</v>
      </c>
      <c r="E113" s="42" t="s">
        <v>385</v>
      </c>
      <c r="F113" s="40"/>
    </row>
    <row r="114" customFormat="false" ht="22.35" hidden="false" customHeight="false" outlineLevel="0" collapsed="false">
      <c r="A114" s="39" t="s">
        <v>293</v>
      </c>
      <c r="B114" s="39" t="s">
        <v>151</v>
      </c>
      <c r="C114" s="39" t="s">
        <v>154</v>
      </c>
      <c r="D114" s="39" t="s">
        <v>154</v>
      </c>
      <c r="E114" s="42" t="s">
        <v>386</v>
      </c>
      <c r="F114" s="40"/>
    </row>
    <row r="115" customFormat="false" ht="22.35" hidden="false" customHeight="false" outlineLevel="0" collapsed="false">
      <c r="A115" s="39" t="s">
        <v>293</v>
      </c>
      <c r="B115" s="39" t="s">
        <v>151</v>
      </c>
      <c r="C115" s="39" t="s">
        <v>154</v>
      </c>
      <c r="D115" s="39" t="s">
        <v>154</v>
      </c>
      <c r="E115" s="42" t="s">
        <v>387</v>
      </c>
      <c r="F115" s="40"/>
    </row>
    <row r="116" customFormat="false" ht="15" hidden="false" customHeight="false" outlineLevel="0" collapsed="false">
      <c r="A116" s="39" t="s">
        <v>293</v>
      </c>
      <c r="B116" s="39" t="s">
        <v>151</v>
      </c>
      <c r="C116" s="39" t="s">
        <v>154</v>
      </c>
      <c r="D116" s="39" t="s">
        <v>154</v>
      </c>
      <c r="E116" s="42" t="s">
        <v>388</v>
      </c>
      <c r="F116" s="40"/>
    </row>
    <row r="117" customFormat="false" ht="22.35" hidden="false" customHeight="false" outlineLevel="0" collapsed="false">
      <c r="A117" s="39" t="s">
        <v>293</v>
      </c>
      <c r="B117" s="39" t="s">
        <v>151</v>
      </c>
      <c r="C117" s="39" t="s">
        <v>154</v>
      </c>
      <c r="D117" s="39" t="s">
        <v>154</v>
      </c>
      <c r="E117" s="42" t="s">
        <v>389</v>
      </c>
      <c r="F117" s="40"/>
    </row>
    <row r="118" customFormat="false" ht="22.35" hidden="false" customHeight="false" outlineLevel="0" collapsed="false">
      <c r="A118" s="39" t="s">
        <v>293</v>
      </c>
      <c r="B118" s="39" t="s">
        <v>151</v>
      </c>
      <c r="C118" s="39" t="s">
        <v>154</v>
      </c>
      <c r="D118" s="39" t="s">
        <v>154</v>
      </c>
      <c r="E118" s="42" t="s">
        <v>390</v>
      </c>
      <c r="F118" s="40"/>
    </row>
    <row r="119" customFormat="false" ht="15" hidden="false" customHeight="false" outlineLevel="0" collapsed="false">
      <c r="A119" s="39" t="s">
        <v>293</v>
      </c>
      <c r="B119" s="39" t="s">
        <v>151</v>
      </c>
      <c r="C119" s="39" t="s">
        <v>154</v>
      </c>
      <c r="D119" s="39" t="s">
        <v>154</v>
      </c>
      <c r="E119" s="42" t="s">
        <v>391</v>
      </c>
      <c r="F119" s="40"/>
    </row>
    <row r="120" customFormat="false" ht="22.35" hidden="false" customHeight="false" outlineLevel="0" collapsed="false">
      <c r="A120" s="39" t="s">
        <v>293</v>
      </c>
      <c r="B120" s="39" t="s">
        <v>151</v>
      </c>
      <c r="C120" s="39" t="s">
        <v>154</v>
      </c>
      <c r="D120" s="39" t="s">
        <v>154</v>
      </c>
      <c r="E120" s="42" t="s">
        <v>392</v>
      </c>
      <c r="F120" s="40"/>
    </row>
    <row r="121" customFormat="false" ht="22.35" hidden="false" customHeight="false" outlineLevel="0" collapsed="false">
      <c r="A121" s="39" t="s">
        <v>293</v>
      </c>
      <c r="B121" s="39" t="s">
        <v>151</v>
      </c>
      <c r="C121" s="39" t="s">
        <v>154</v>
      </c>
      <c r="D121" s="39" t="s">
        <v>154</v>
      </c>
      <c r="E121" s="42" t="s">
        <v>393</v>
      </c>
      <c r="F121" s="40"/>
    </row>
    <row r="122" customFormat="false" ht="22.35" hidden="false" customHeight="false" outlineLevel="0" collapsed="false">
      <c r="A122" s="39" t="s">
        <v>293</v>
      </c>
      <c r="B122" s="39" t="s">
        <v>153</v>
      </c>
      <c r="C122" s="39" t="s">
        <v>154</v>
      </c>
      <c r="D122" s="39" t="s">
        <v>154</v>
      </c>
      <c r="E122" s="42" t="s">
        <v>394</v>
      </c>
      <c r="F122" s="4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95"/>
  </cols>
  <sheetData>
    <row r="1" customFormat="false" ht="17.35" hidden="false" customHeight="false" outlineLevel="0" collapsed="false">
      <c r="A1" s="38" t="s">
        <v>395</v>
      </c>
    </row>
    <row r="2" customFormat="false" ht="15" hidden="false" customHeight="false" outlineLevel="0" collapsed="false">
      <c r="A2" s="16" t="s">
        <v>396</v>
      </c>
    </row>
    <row r="3" customFormat="false" ht="15" hidden="false" customHeight="false" outlineLevel="0" collapsed="false">
      <c r="A3" s="17" t="s">
        <v>397</v>
      </c>
      <c r="B3" s="17" t="s">
        <v>271</v>
      </c>
      <c r="C3" s="17" t="s">
        <v>272</v>
      </c>
      <c r="D3" s="17" t="s">
        <v>273</v>
      </c>
      <c r="E3" s="17" t="s">
        <v>398</v>
      </c>
      <c r="F3" s="17" t="s">
        <v>274</v>
      </c>
    </row>
    <row r="4" customFormat="false" ht="15" hidden="false" customHeight="false" outlineLevel="0" collapsed="false">
      <c r="A4" s="39" t="s">
        <v>399</v>
      </c>
      <c r="B4" s="39" t="s">
        <v>400</v>
      </c>
      <c r="C4" s="39" t="s">
        <v>154</v>
      </c>
      <c r="D4" s="39" t="s">
        <v>154</v>
      </c>
      <c r="E4" s="39" t="s">
        <v>401</v>
      </c>
      <c r="F4" s="42" t="s">
        <v>402</v>
      </c>
    </row>
    <row r="5" customFormat="false" ht="22.35" hidden="false" customHeight="false" outlineLevel="0" collapsed="false">
      <c r="A5" s="39" t="s">
        <v>403</v>
      </c>
      <c r="B5" s="39" t="s">
        <v>404</v>
      </c>
      <c r="C5" s="39" t="s">
        <v>154</v>
      </c>
      <c r="D5" s="39" t="s">
        <v>154</v>
      </c>
      <c r="E5" s="39" t="s">
        <v>405</v>
      </c>
      <c r="F5" s="42" t="s">
        <v>406</v>
      </c>
    </row>
    <row r="6" customFormat="false" ht="15" hidden="false" customHeight="false" outlineLevel="0" collapsed="false">
      <c r="A6" s="39" t="s">
        <v>403</v>
      </c>
      <c r="B6" s="39" t="s">
        <v>148</v>
      </c>
      <c r="C6" s="39" t="s">
        <v>149</v>
      </c>
      <c r="D6" s="39" t="s">
        <v>154</v>
      </c>
      <c r="E6" s="39" t="s">
        <v>407</v>
      </c>
      <c r="F6" s="42" t="s">
        <v>408</v>
      </c>
    </row>
    <row r="7" customFormat="false" ht="15" hidden="false" customHeight="false" outlineLevel="0" collapsed="false">
      <c r="A7" s="39" t="s">
        <v>409</v>
      </c>
      <c r="B7" s="39" t="s">
        <v>151</v>
      </c>
      <c r="C7" s="39" t="s">
        <v>152</v>
      </c>
      <c r="D7" s="39" t="s">
        <v>410</v>
      </c>
      <c r="E7" s="39" t="s">
        <v>411</v>
      </c>
      <c r="F7" s="42" t="s">
        <v>412</v>
      </c>
    </row>
    <row r="8" customFormat="false" ht="15" hidden="false" customHeight="false" outlineLevel="0" collapsed="false">
      <c r="A8" s="39" t="s">
        <v>413</v>
      </c>
      <c r="B8" s="39" t="s">
        <v>153</v>
      </c>
      <c r="C8" s="39" t="s">
        <v>154</v>
      </c>
      <c r="D8" s="39" t="n">
        <v>227</v>
      </c>
      <c r="E8" s="39" t="s">
        <v>414</v>
      </c>
      <c r="F8" s="42" t="s">
        <v>415</v>
      </c>
    </row>
    <row r="9" customFormat="false" ht="15" hidden="false" customHeight="false" outlineLevel="0" collapsed="false">
      <c r="A9" s="39" t="s">
        <v>416</v>
      </c>
      <c r="B9" s="39" t="s">
        <v>156</v>
      </c>
      <c r="C9" s="39" t="s">
        <v>91</v>
      </c>
      <c r="D9" s="39" t="s">
        <v>154</v>
      </c>
      <c r="E9" s="39" t="s">
        <v>417</v>
      </c>
      <c r="F9" s="42" t="s">
        <v>418</v>
      </c>
    </row>
    <row r="10" customFormat="false" ht="15" hidden="false" customHeight="false" outlineLevel="0" collapsed="false">
      <c r="A10" s="39" t="s">
        <v>416</v>
      </c>
      <c r="B10" s="39" t="s">
        <v>156</v>
      </c>
      <c r="C10" s="39" t="s">
        <v>157</v>
      </c>
      <c r="D10" s="39" t="s">
        <v>154</v>
      </c>
      <c r="E10" s="39" t="s">
        <v>417</v>
      </c>
      <c r="F10" s="42" t="s">
        <v>419</v>
      </c>
    </row>
    <row r="11" customFormat="false" ht="15" hidden="false" customHeight="false" outlineLevel="0" collapsed="false">
      <c r="A11" s="39" t="s">
        <v>416</v>
      </c>
      <c r="B11" s="39" t="s">
        <v>156</v>
      </c>
      <c r="C11" s="39" t="s">
        <v>158</v>
      </c>
      <c r="D11" s="39" t="s">
        <v>154</v>
      </c>
      <c r="E11" s="39" t="s">
        <v>417</v>
      </c>
      <c r="F11" s="42" t="s">
        <v>420</v>
      </c>
    </row>
    <row r="12" customFormat="false" ht="15" hidden="false" customHeight="false" outlineLevel="0" collapsed="false">
      <c r="A12" s="39" t="s">
        <v>421</v>
      </c>
      <c r="B12" s="39" t="s">
        <v>159</v>
      </c>
      <c r="C12" s="39" t="s">
        <v>154</v>
      </c>
      <c r="D12" s="39" t="n">
        <v>9</v>
      </c>
      <c r="E12" s="39" t="s">
        <v>422</v>
      </c>
      <c r="F12" s="42" t="s">
        <v>423</v>
      </c>
    </row>
    <row r="13" customFormat="false" ht="15" hidden="false" customHeight="false" outlineLevel="0" collapsed="false">
      <c r="A13" s="39" t="s">
        <v>421</v>
      </c>
      <c r="B13" s="39" t="s">
        <v>159</v>
      </c>
      <c r="C13" s="39" t="s">
        <v>154</v>
      </c>
      <c r="D13" s="39" t="n">
        <v>25</v>
      </c>
      <c r="E13" s="39" t="s">
        <v>422</v>
      </c>
      <c r="F13" s="42" t="s">
        <v>424</v>
      </c>
    </row>
    <row r="14" customFormat="false" ht="15" hidden="false" customHeight="false" outlineLevel="0" collapsed="false">
      <c r="A14" s="39" t="s">
        <v>421</v>
      </c>
      <c r="B14" s="39" t="s">
        <v>159</v>
      </c>
      <c r="C14" s="39" t="s">
        <v>154</v>
      </c>
      <c r="D14" s="39" t="n">
        <v>44</v>
      </c>
      <c r="E14" s="39" t="s">
        <v>422</v>
      </c>
      <c r="F14" s="42" t="s">
        <v>424</v>
      </c>
    </row>
    <row r="15" customFormat="false" ht="15" hidden="false" customHeight="false" outlineLevel="0" collapsed="false">
      <c r="A15" s="39" t="s">
        <v>413</v>
      </c>
      <c r="B15" s="39" t="s">
        <v>159</v>
      </c>
      <c r="C15" s="39" t="s">
        <v>154</v>
      </c>
      <c r="D15" s="39" t="n">
        <v>64</v>
      </c>
      <c r="E15" s="39" t="s">
        <v>414</v>
      </c>
      <c r="F15" s="42" t="s">
        <v>425</v>
      </c>
    </row>
    <row r="16" customFormat="false" ht="15" hidden="false" customHeight="false" outlineLevel="0" collapsed="false">
      <c r="A16" s="39" t="s">
        <v>421</v>
      </c>
      <c r="B16" s="39" t="s">
        <v>159</v>
      </c>
      <c r="C16" s="39" t="s">
        <v>154</v>
      </c>
      <c r="D16" s="39" t="n">
        <v>70</v>
      </c>
      <c r="E16" s="39" t="s">
        <v>422</v>
      </c>
      <c r="F16" s="42" t="s">
        <v>426</v>
      </c>
    </row>
    <row r="17" customFormat="false" ht="15" hidden="false" customHeight="false" outlineLevel="0" collapsed="false">
      <c r="A17" s="39" t="s">
        <v>421</v>
      </c>
      <c r="B17" s="39" t="s">
        <v>159</v>
      </c>
      <c r="C17" s="39" t="s">
        <v>154</v>
      </c>
      <c r="D17" s="39" t="n">
        <v>94</v>
      </c>
      <c r="E17" s="39" t="s">
        <v>422</v>
      </c>
      <c r="F17" s="42" t="s">
        <v>427</v>
      </c>
    </row>
    <row r="18" customFormat="false" ht="15" hidden="false" customHeight="false" outlineLevel="0" collapsed="false">
      <c r="A18" s="39" t="s">
        <v>421</v>
      </c>
      <c r="B18" s="39" t="s">
        <v>159</v>
      </c>
      <c r="C18" s="39" t="s">
        <v>154</v>
      </c>
      <c r="D18" s="39" t="n">
        <v>108</v>
      </c>
      <c r="E18" s="39" t="s">
        <v>422</v>
      </c>
      <c r="F18" s="42" t="s">
        <v>428</v>
      </c>
    </row>
    <row r="19" customFormat="false" ht="22.35" hidden="false" customHeight="false" outlineLevel="0" collapsed="false">
      <c r="A19" s="39" t="s">
        <v>429</v>
      </c>
      <c r="B19" s="39" t="s">
        <v>430</v>
      </c>
      <c r="C19" s="39" t="s">
        <v>154</v>
      </c>
      <c r="D19" s="39" t="s">
        <v>154</v>
      </c>
      <c r="E19" s="39" t="s">
        <v>431</v>
      </c>
      <c r="F19" s="42" t="s">
        <v>432</v>
      </c>
    </row>
    <row r="20" customFormat="false" ht="15" hidden="false" customHeight="false" outlineLevel="0" collapsed="false">
      <c r="A20" s="39" t="s">
        <v>429</v>
      </c>
      <c r="B20" s="39" t="s">
        <v>430</v>
      </c>
      <c r="C20" s="39" t="s">
        <v>154</v>
      </c>
      <c r="D20" s="39" t="s">
        <v>154</v>
      </c>
      <c r="E20" s="39" t="s">
        <v>431</v>
      </c>
      <c r="F20" s="42" t="s">
        <v>433</v>
      </c>
    </row>
    <row r="21" customFormat="false" ht="22.35" hidden="false" customHeight="false" outlineLevel="0" collapsed="false">
      <c r="A21" s="39" t="s">
        <v>429</v>
      </c>
      <c r="B21" s="39" t="s">
        <v>430</v>
      </c>
      <c r="C21" s="39" t="s">
        <v>154</v>
      </c>
      <c r="D21" s="39" t="s">
        <v>154</v>
      </c>
      <c r="E21" s="39" t="s">
        <v>431</v>
      </c>
      <c r="F21" s="42" t="s">
        <v>434</v>
      </c>
    </row>
    <row r="22" customFormat="false" ht="15" hidden="false" customHeight="false" outlineLevel="0" collapsed="false">
      <c r="A22" s="39" t="s">
        <v>429</v>
      </c>
      <c r="B22" s="39" t="s">
        <v>430</v>
      </c>
      <c r="C22" s="39" t="s">
        <v>154</v>
      </c>
      <c r="D22" s="39" t="s">
        <v>154</v>
      </c>
      <c r="E22" s="39" t="s">
        <v>431</v>
      </c>
      <c r="F22" s="42" t="s">
        <v>435</v>
      </c>
    </row>
    <row r="23" customFormat="false" ht="22.35" hidden="false" customHeight="false" outlineLevel="0" collapsed="false">
      <c r="A23" s="39" t="s">
        <v>429</v>
      </c>
      <c r="B23" s="39" t="s">
        <v>430</v>
      </c>
      <c r="C23" s="39" t="s">
        <v>154</v>
      </c>
      <c r="D23" s="39" t="s">
        <v>154</v>
      </c>
      <c r="E23" s="39" t="s">
        <v>431</v>
      </c>
      <c r="F23" s="42" t="s">
        <v>436</v>
      </c>
    </row>
    <row r="24" customFormat="false" ht="22.35" hidden="false" customHeight="false" outlineLevel="0" collapsed="false">
      <c r="A24" s="39" t="s">
        <v>429</v>
      </c>
      <c r="B24" s="39" t="s">
        <v>430</v>
      </c>
      <c r="C24" s="39" t="s">
        <v>154</v>
      </c>
      <c r="D24" s="39" t="s">
        <v>154</v>
      </c>
      <c r="E24" s="39" t="s">
        <v>431</v>
      </c>
      <c r="F24" s="42" t="s">
        <v>432</v>
      </c>
    </row>
    <row r="25" customFormat="false" ht="15" hidden="false" customHeight="false" outlineLevel="0" collapsed="false">
      <c r="A25" s="39" t="s">
        <v>429</v>
      </c>
      <c r="B25" s="39" t="s">
        <v>430</v>
      </c>
      <c r="C25" s="39" t="s">
        <v>154</v>
      </c>
      <c r="D25" s="39" t="s">
        <v>154</v>
      </c>
      <c r="E25" s="39" t="s">
        <v>431</v>
      </c>
      <c r="F25" s="42" t="s">
        <v>433</v>
      </c>
    </row>
    <row r="26" customFormat="false" ht="22.35" hidden="false" customHeight="false" outlineLevel="0" collapsed="false">
      <c r="A26" s="39" t="s">
        <v>429</v>
      </c>
      <c r="B26" s="39" t="s">
        <v>430</v>
      </c>
      <c r="C26" s="39" t="s">
        <v>154</v>
      </c>
      <c r="D26" s="39" t="s">
        <v>154</v>
      </c>
      <c r="E26" s="39" t="s">
        <v>431</v>
      </c>
      <c r="F26" s="42" t="s">
        <v>434</v>
      </c>
    </row>
    <row r="27" customFormat="false" ht="15" hidden="false" customHeight="false" outlineLevel="0" collapsed="false">
      <c r="A27" s="39" t="s">
        <v>429</v>
      </c>
      <c r="B27" s="39" t="s">
        <v>430</v>
      </c>
      <c r="C27" s="39" t="s">
        <v>154</v>
      </c>
      <c r="D27" s="39" t="s">
        <v>154</v>
      </c>
      <c r="E27" s="39" t="s">
        <v>431</v>
      </c>
      <c r="F27" s="42" t="s">
        <v>435</v>
      </c>
    </row>
    <row r="28" customFormat="false" ht="22.35" hidden="false" customHeight="false" outlineLevel="0" collapsed="false">
      <c r="A28" s="39" t="s">
        <v>429</v>
      </c>
      <c r="B28" s="39" t="s">
        <v>430</v>
      </c>
      <c r="C28" s="39" t="s">
        <v>154</v>
      </c>
      <c r="D28" s="39" t="s">
        <v>154</v>
      </c>
      <c r="E28" s="39" t="s">
        <v>431</v>
      </c>
      <c r="F28" s="42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38" t="s">
        <v>437</v>
      </c>
    </row>
    <row r="2" customFormat="false" ht="15" hidden="false" customHeight="false" outlineLevel="0" collapsed="false">
      <c r="A2" s="16" t="s">
        <v>438</v>
      </c>
    </row>
    <row r="3" customFormat="false" ht="15" hidden="false" customHeight="false" outlineLevel="0" collapsed="false">
      <c r="A3" s="17" t="s">
        <v>439</v>
      </c>
      <c r="B3" s="17" t="s">
        <v>440</v>
      </c>
      <c r="C3" s="17" t="s">
        <v>441</v>
      </c>
      <c r="D3" s="17" t="s">
        <v>442</v>
      </c>
      <c r="E3" s="17" t="s">
        <v>443</v>
      </c>
    </row>
    <row r="4" customFormat="false" ht="15" hidden="false" customHeight="false" outlineLevel="0" collapsed="false">
      <c r="A4" s="39" t="s">
        <v>87</v>
      </c>
      <c r="B4" s="39" t="s">
        <v>157</v>
      </c>
      <c r="C4" s="39" t="s">
        <v>92</v>
      </c>
      <c r="D4" s="39" t="s">
        <v>444</v>
      </c>
      <c r="E4" s="39" t="s">
        <v>445</v>
      </c>
    </row>
    <row r="5" customFormat="false" ht="15" hidden="false" customHeight="false" outlineLevel="0" collapsed="false">
      <c r="A5" s="39" t="s">
        <v>96</v>
      </c>
      <c r="B5" s="39" t="s">
        <v>446</v>
      </c>
      <c r="C5" s="39" t="s">
        <v>105</v>
      </c>
      <c r="D5" s="39" t="s">
        <v>444</v>
      </c>
      <c r="E5" s="39" t="s">
        <v>445</v>
      </c>
    </row>
    <row r="6" customFormat="false" ht="15" hidden="false" customHeight="false" outlineLevel="0" collapsed="false">
      <c r="A6" s="39" t="s">
        <v>87</v>
      </c>
      <c r="B6" s="39" t="s">
        <v>158</v>
      </c>
      <c r="C6" s="39" t="s">
        <v>93</v>
      </c>
      <c r="D6" s="39" t="s">
        <v>444</v>
      </c>
      <c r="E6" s="39" t="s">
        <v>445</v>
      </c>
    </row>
    <row r="7" customFormat="false" ht="15" hidden="false" customHeight="false" outlineLevel="0" collapsed="false">
      <c r="A7" s="39" t="s">
        <v>96</v>
      </c>
      <c r="B7" s="39" t="s">
        <v>447</v>
      </c>
      <c r="C7" s="39" t="s">
        <v>108</v>
      </c>
      <c r="D7" s="39" t="s">
        <v>444</v>
      </c>
      <c r="E7" s="39" t="s">
        <v>445</v>
      </c>
    </row>
    <row r="8" customFormat="false" ht="15" hidden="false" customHeight="false" outlineLevel="0" collapsed="false">
      <c r="A8" s="39" t="s">
        <v>96</v>
      </c>
      <c r="B8" s="39" t="s">
        <v>448</v>
      </c>
      <c r="C8" s="39" t="s">
        <v>107</v>
      </c>
      <c r="D8" s="39" t="s">
        <v>444</v>
      </c>
      <c r="E8" s="39" t="s">
        <v>445</v>
      </c>
    </row>
    <row r="9" customFormat="false" ht="15" hidden="false" customHeight="false" outlineLevel="0" collapsed="false">
      <c r="A9" s="39" t="s">
        <v>96</v>
      </c>
      <c r="B9" s="39" t="s">
        <v>449</v>
      </c>
      <c r="C9" s="39" t="s">
        <v>103</v>
      </c>
      <c r="D9" s="39" t="s">
        <v>444</v>
      </c>
      <c r="E9" s="39" t="s">
        <v>445</v>
      </c>
    </row>
    <row r="10" customFormat="false" ht="15" hidden="false" customHeight="false" outlineLevel="0" collapsed="false">
      <c r="A10" s="39" t="s">
        <v>96</v>
      </c>
      <c r="B10" s="39" t="s">
        <v>450</v>
      </c>
      <c r="C10" s="39" t="s">
        <v>104</v>
      </c>
      <c r="D10" s="39" t="s">
        <v>444</v>
      </c>
      <c r="E10" s="39" t="s">
        <v>445</v>
      </c>
    </row>
    <row r="11" customFormat="false" ht="15" hidden="false" customHeight="false" outlineLevel="0" collapsed="false">
      <c r="A11" s="39" t="s">
        <v>87</v>
      </c>
      <c r="B11" s="39" t="s">
        <v>451</v>
      </c>
      <c r="C11" s="39" t="s">
        <v>92</v>
      </c>
      <c r="D11" s="39" t="s">
        <v>444</v>
      </c>
      <c r="E11" s="39" t="s">
        <v>445</v>
      </c>
    </row>
    <row r="12" customFormat="false" ht="15" hidden="false" customHeight="false" outlineLevel="0" collapsed="false">
      <c r="A12" s="39" t="s">
        <v>96</v>
      </c>
      <c r="B12" s="39" t="s">
        <v>452</v>
      </c>
      <c r="C12" s="39" t="s">
        <v>105</v>
      </c>
      <c r="D12" s="39" t="s">
        <v>444</v>
      </c>
      <c r="E12" s="39" t="s">
        <v>445</v>
      </c>
    </row>
    <row r="13" customFormat="false" ht="15" hidden="false" customHeight="false" outlineLevel="0" collapsed="false">
      <c r="A13" s="39" t="s">
        <v>96</v>
      </c>
      <c r="B13" s="39" t="s">
        <v>453</v>
      </c>
      <c r="C13" s="39" t="s">
        <v>105</v>
      </c>
      <c r="D13" s="39" t="s">
        <v>444</v>
      </c>
      <c r="E13" s="39" t="s">
        <v>445</v>
      </c>
    </row>
    <row r="14" customFormat="false" ht="15" hidden="false" customHeight="false" outlineLevel="0" collapsed="false">
      <c r="A14" s="39" t="s">
        <v>87</v>
      </c>
      <c r="B14" s="39" t="s">
        <v>454</v>
      </c>
      <c r="C14" s="39" t="s">
        <v>93</v>
      </c>
      <c r="D14" s="39" t="s">
        <v>444</v>
      </c>
      <c r="E14" s="39" t="s">
        <v>445</v>
      </c>
    </row>
    <row r="15" customFormat="false" ht="15" hidden="false" customHeight="false" outlineLevel="0" collapsed="false">
      <c r="A15" s="39" t="s">
        <v>96</v>
      </c>
      <c r="B15" s="39" t="s">
        <v>455</v>
      </c>
      <c r="C15" s="39" t="s">
        <v>108</v>
      </c>
      <c r="D15" s="39" t="s">
        <v>444</v>
      </c>
      <c r="E15" s="39" t="s">
        <v>445</v>
      </c>
    </row>
    <row r="16" customFormat="false" ht="15" hidden="false" customHeight="false" outlineLevel="0" collapsed="false">
      <c r="A16" s="39" t="s">
        <v>96</v>
      </c>
      <c r="B16" s="39" t="s">
        <v>456</v>
      </c>
      <c r="C16" s="39" t="s">
        <v>108</v>
      </c>
      <c r="D16" s="39" t="s">
        <v>444</v>
      </c>
      <c r="E16" s="39" t="s">
        <v>445</v>
      </c>
    </row>
    <row r="17" customFormat="false" ht="15" hidden="false" customHeight="false" outlineLevel="0" collapsed="false">
      <c r="A17" s="39" t="s">
        <v>87</v>
      </c>
      <c r="B17" s="39" t="s">
        <v>457</v>
      </c>
      <c r="C17" s="39" t="s">
        <v>91</v>
      </c>
      <c r="D17" s="39" t="s">
        <v>444</v>
      </c>
      <c r="E17" s="39" t="s">
        <v>445</v>
      </c>
    </row>
    <row r="18" customFormat="false" ht="15" hidden="false" customHeight="false" outlineLevel="0" collapsed="false">
      <c r="A18" s="39" t="s">
        <v>96</v>
      </c>
      <c r="B18" s="39" t="s">
        <v>458</v>
      </c>
      <c r="C18" s="39" t="s">
        <v>107</v>
      </c>
      <c r="D18" s="39" t="s">
        <v>444</v>
      </c>
      <c r="E18" s="39" t="s">
        <v>445</v>
      </c>
    </row>
    <row r="19" customFormat="false" ht="15" hidden="false" customHeight="false" outlineLevel="0" collapsed="false">
      <c r="A19" s="39" t="s">
        <v>96</v>
      </c>
      <c r="B19" s="39" t="s">
        <v>459</v>
      </c>
      <c r="C19" s="39" t="s">
        <v>107</v>
      </c>
      <c r="D19" s="39" t="s">
        <v>444</v>
      </c>
      <c r="E19" s="39" t="s">
        <v>445</v>
      </c>
    </row>
    <row r="20" customFormat="false" ht="15" hidden="false" customHeight="false" outlineLevel="0" collapsed="false">
      <c r="A20" s="39" t="s">
        <v>96</v>
      </c>
      <c r="B20" s="39" t="s">
        <v>460</v>
      </c>
      <c r="C20" s="39" t="s">
        <v>103</v>
      </c>
      <c r="D20" s="39" t="s">
        <v>444</v>
      </c>
      <c r="E20" s="39" t="s">
        <v>445</v>
      </c>
    </row>
    <row r="21" customFormat="false" ht="15" hidden="false" customHeight="false" outlineLevel="0" collapsed="false">
      <c r="A21" s="39" t="s">
        <v>96</v>
      </c>
      <c r="B21" s="39" t="s">
        <v>461</v>
      </c>
      <c r="C21" s="39" t="s">
        <v>104</v>
      </c>
      <c r="D21" s="39" t="s">
        <v>444</v>
      </c>
      <c r="E21" s="39" t="s">
        <v>445</v>
      </c>
    </row>
    <row r="22" customFormat="false" ht="15" hidden="false" customHeight="false" outlineLevel="0" collapsed="false">
      <c r="A22" s="39" t="s">
        <v>111</v>
      </c>
      <c r="B22" s="39" t="s">
        <v>462</v>
      </c>
      <c r="C22" s="39" t="s">
        <v>114</v>
      </c>
      <c r="D22" s="39" t="s">
        <v>444</v>
      </c>
      <c r="E22" s="39" t="s">
        <v>445</v>
      </c>
    </row>
    <row r="23" customFormat="false" ht="15" hidden="false" customHeight="false" outlineLevel="0" collapsed="false">
      <c r="A23" s="39" t="s">
        <v>87</v>
      </c>
      <c r="B23" s="39" t="s">
        <v>463</v>
      </c>
      <c r="C23" s="39" t="s">
        <v>92</v>
      </c>
      <c r="D23" s="39" t="s">
        <v>444</v>
      </c>
      <c r="E23" s="39" t="s">
        <v>445</v>
      </c>
    </row>
    <row r="24" customFormat="false" ht="15" hidden="false" customHeight="false" outlineLevel="0" collapsed="false">
      <c r="A24" s="39" t="s">
        <v>111</v>
      </c>
      <c r="B24" s="39" t="s">
        <v>464</v>
      </c>
      <c r="C24" s="39" t="s">
        <v>114</v>
      </c>
      <c r="D24" s="39" t="s">
        <v>444</v>
      </c>
      <c r="E24" s="39" t="s">
        <v>445</v>
      </c>
    </row>
    <row r="25" customFormat="false" ht="15" hidden="false" customHeight="false" outlineLevel="0" collapsed="false">
      <c r="A25" s="39" t="s">
        <v>111</v>
      </c>
      <c r="B25" s="39" t="s">
        <v>465</v>
      </c>
      <c r="C25" s="39" t="s">
        <v>114</v>
      </c>
      <c r="D25" s="39" t="s">
        <v>444</v>
      </c>
      <c r="E25" s="39" t="s">
        <v>445</v>
      </c>
    </row>
    <row r="26" customFormat="false" ht="15" hidden="false" customHeight="false" outlineLevel="0" collapsed="false">
      <c r="A26" s="39" t="s">
        <v>111</v>
      </c>
      <c r="B26" s="39" t="s">
        <v>466</v>
      </c>
      <c r="C26" s="39" t="s">
        <v>117</v>
      </c>
      <c r="D26" s="39" t="s">
        <v>444</v>
      </c>
      <c r="E26" s="39" t="s">
        <v>445</v>
      </c>
    </row>
    <row r="27" customFormat="false" ht="15" hidden="false" customHeight="false" outlineLevel="0" collapsed="false">
      <c r="A27" s="39" t="s">
        <v>111</v>
      </c>
      <c r="B27" s="39" t="s">
        <v>467</v>
      </c>
      <c r="C27" s="39" t="s">
        <v>117</v>
      </c>
      <c r="D27" s="39" t="s">
        <v>444</v>
      </c>
      <c r="E27" s="39" t="s">
        <v>445</v>
      </c>
    </row>
    <row r="28" customFormat="false" ht="15" hidden="false" customHeight="false" outlineLevel="0" collapsed="false">
      <c r="A28" s="39" t="s">
        <v>111</v>
      </c>
      <c r="B28" s="39" t="s">
        <v>468</v>
      </c>
      <c r="C28" s="39" t="s">
        <v>117</v>
      </c>
      <c r="D28" s="39" t="s">
        <v>444</v>
      </c>
      <c r="E28" s="39" t="s">
        <v>445</v>
      </c>
    </row>
    <row r="29" customFormat="false" ht="15" hidden="false" customHeight="false" outlineLevel="0" collapsed="false">
      <c r="A29" s="39" t="s">
        <v>111</v>
      </c>
      <c r="B29" s="39" t="s">
        <v>469</v>
      </c>
      <c r="C29" s="39" t="s">
        <v>116</v>
      </c>
      <c r="D29" s="39" t="s">
        <v>444</v>
      </c>
      <c r="E29" s="39" t="s">
        <v>445</v>
      </c>
    </row>
    <row r="30" customFormat="false" ht="15" hidden="false" customHeight="false" outlineLevel="0" collapsed="false">
      <c r="A30" s="39" t="s">
        <v>111</v>
      </c>
      <c r="B30" s="39" t="s">
        <v>470</v>
      </c>
      <c r="C30" s="39" t="s">
        <v>116</v>
      </c>
      <c r="D30" s="39" t="s">
        <v>444</v>
      </c>
      <c r="E30" s="39" t="s">
        <v>445</v>
      </c>
    </row>
    <row r="31" customFormat="false" ht="15" hidden="false" customHeight="false" outlineLevel="0" collapsed="false">
      <c r="A31" s="39" t="s">
        <v>111</v>
      </c>
      <c r="B31" s="39" t="s">
        <v>471</v>
      </c>
      <c r="C31" s="39" t="s">
        <v>116</v>
      </c>
      <c r="D31" s="39" t="s">
        <v>444</v>
      </c>
      <c r="E31" s="39" t="s">
        <v>445</v>
      </c>
    </row>
    <row r="32" customFormat="false" ht="15" hidden="false" customHeight="false" outlineLevel="0" collapsed="false">
      <c r="A32" s="39" t="s">
        <v>87</v>
      </c>
      <c r="B32" s="39" t="s">
        <v>472</v>
      </c>
      <c r="C32" s="39" t="s">
        <v>93</v>
      </c>
      <c r="D32" s="39" t="s">
        <v>444</v>
      </c>
      <c r="E32" s="39" t="s">
        <v>445</v>
      </c>
    </row>
    <row r="33" customFormat="false" ht="15" hidden="false" customHeight="false" outlineLevel="0" collapsed="false">
      <c r="A33" s="39" t="s">
        <v>87</v>
      </c>
      <c r="B33" s="39" t="s">
        <v>473</v>
      </c>
      <c r="C33" s="39" t="s">
        <v>91</v>
      </c>
      <c r="D33" s="39" t="s">
        <v>444</v>
      </c>
      <c r="E33" s="39" t="s">
        <v>445</v>
      </c>
    </row>
    <row r="34" customFormat="false" ht="15" hidden="false" customHeight="false" outlineLevel="0" collapsed="false">
      <c r="A34" s="39" t="s">
        <v>87</v>
      </c>
      <c r="B34" s="39" t="s">
        <v>474</v>
      </c>
      <c r="C34" s="39" t="s">
        <v>91</v>
      </c>
      <c r="D34" s="39" t="s">
        <v>444</v>
      </c>
      <c r="E34" s="39" t="s">
        <v>445</v>
      </c>
    </row>
    <row r="35" customFormat="false" ht="15" hidden="false" customHeight="false" outlineLevel="0" collapsed="false">
      <c r="A35" s="39" t="s">
        <v>111</v>
      </c>
      <c r="B35" s="39" t="s">
        <v>475</v>
      </c>
      <c r="C35" s="39" t="s">
        <v>114</v>
      </c>
      <c r="D35" s="39" t="s">
        <v>444</v>
      </c>
      <c r="E35" s="39" t="s">
        <v>445</v>
      </c>
    </row>
    <row r="36" customFormat="false" ht="15" hidden="false" customHeight="false" outlineLevel="0" collapsed="false">
      <c r="A36" s="39" t="s">
        <v>96</v>
      </c>
      <c r="B36" s="39" t="s">
        <v>476</v>
      </c>
      <c r="C36" s="39" t="s">
        <v>108</v>
      </c>
      <c r="D36" s="39" t="s">
        <v>444</v>
      </c>
      <c r="E36" s="39" t="s">
        <v>445</v>
      </c>
    </row>
    <row r="37" customFormat="false" ht="15" hidden="false" customHeight="false" outlineLevel="0" collapsed="false">
      <c r="A37" s="39" t="s">
        <v>111</v>
      </c>
      <c r="B37" s="39" t="s">
        <v>477</v>
      </c>
      <c r="C37" s="39" t="s">
        <v>118</v>
      </c>
      <c r="D37" s="39" t="s">
        <v>444</v>
      </c>
      <c r="E37" s="39" t="s">
        <v>445</v>
      </c>
    </row>
    <row r="38" customFormat="false" ht="15" hidden="false" customHeight="false" outlineLevel="0" collapsed="false">
      <c r="A38" s="39" t="s">
        <v>96</v>
      </c>
      <c r="B38" s="39" t="s">
        <v>478</v>
      </c>
      <c r="C38" s="39" t="s">
        <v>105</v>
      </c>
      <c r="D38" s="39" t="s">
        <v>444</v>
      </c>
      <c r="E38" s="39" t="s">
        <v>445</v>
      </c>
    </row>
    <row r="39" customFormat="false" ht="15" hidden="false" customHeight="false" outlineLevel="0" collapsed="false">
      <c r="A39" s="39" t="s">
        <v>111</v>
      </c>
      <c r="B39" s="39" t="s">
        <v>479</v>
      </c>
      <c r="C39" s="39" t="s">
        <v>118</v>
      </c>
      <c r="D39" s="39" t="s">
        <v>444</v>
      </c>
      <c r="E39" s="39" t="s">
        <v>445</v>
      </c>
    </row>
    <row r="40" customFormat="false" ht="15" hidden="false" customHeight="false" outlineLevel="0" collapsed="false">
      <c r="A40" s="39" t="s">
        <v>111</v>
      </c>
      <c r="B40" s="39" t="s">
        <v>480</v>
      </c>
      <c r="C40" s="39" t="s">
        <v>115</v>
      </c>
      <c r="D40" s="39" t="s">
        <v>444</v>
      </c>
      <c r="E40" s="39" t="s">
        <v>445</v>
      </c>
    </row>
    <row r="41" customFormat="false" ht="15" hidden="false" customHeight="false" outlineLevel="0" collapsed="false">
      <c r="A41" s="39" t="s">
        <v>96</v>
      </c>
      <c r="B41" s="39" t="s">
        <v>481</v>
      </c>
      <c r="C41" s="39" t="s">
        <v>104</v>
      </c>
      <c r="D41" s="39" t="s">
        <v>444</v>
      </c>
      <c r="E41" s="39" t="s">
        <v>445</v>
      </c>
    </row>
    <row r="42" customFormat="false" ht="15" hidden="false" customHeight="false" outlineLevel="0" collapsed="false">
      <c r="A42" s="39" t="s">
        <v>96</v>
      </c>
      <c r="B42" s="39" t="s">
        <v>482</v>
      </c>
      <c r="C42" s="39" t="s">
        <v>107</v>
      </c>
      <c r="D42" s="39" t="s">
        <v>444</v>
      </c>
      <c r="E42" s="39" t="s">
        <v>445</v>
      </c>
    </row>
    <row r="43" customFormat="false" ht="15" hidden="false" customHeight="false" outlineLevel="0" collapsed="false">
      <c r="A43" s="39" t="s">
        <v>96</v>
      </c>
      <c r="B43" s="39" t="s">
        <v>483</v>
      </c>
      <c r="C43" s="39" t="s">
        <v>108</v>
      </c>
      <c r="D43" s="39" t="s">
        <v>444</v>
      </c>
      <c r="E43" s="39" t="s">
        <v>445</v>
      </c>
    </row>
    <row r="44" customFormat="false" ht="15" hidden="false" customHeight="false" outlineLevel="0" collapsed="false">
      <c r="A44" s="39" t="s">
        <v>96</v>
      </c>
      <c r="B44" s="39" t="s">
        <v>484</v>
      </c>
      <c r="C44" s="39" t="s">
        <v>106</v>
      </c>
      <c r="D44" s="39" t="s">
        <v>444</v>
      </c>
      <c r="E44" s="39" t="s">
        <v>445</v>
      </c>
    </row>
    <row r="45" customFormat="false" ht="15" hidden="false" customHeight="false" outlineLevel="0" collapsed="false">
      <c r="A45" s="39" t="s">
        <v>111</v>
      </c>
      <c r="B45" s="39" t="s">
        <v>485</v>
      </c>
      <c r="C45" s="39" t="s">
        <v>115</v>
      </c>
      <c r="D45" s="39" t="s">
        <v>444</v>
      </c>
      <c r="E45" s="39" t="s">
        <v>445</v>
      </c>
    </row>
    <row r="46" customFormat="false" ht="15" hidden="false" customHeight="false" outlineLevel="0" collapsed="false">
      <c r="A46" s="39" t="s">
        <v>111</v>
      </c>
      <c r="B46" s="39" t="s">
        <v>486</v>
      </c>
      <c r="C46" s="39" t="s">
        <v>116</v>
      </c>
      <c r="D46" s="39" t="s">
        <v>444</v>
      </c>
      <c r="E46" s="39" t="s">
        <v>445</v>
      </c>
    </row>
    <row r="47" customFormat="false" ht="15" hidden="false" customHeight="false" outlineLevel="0" collapsed="false">
      <c r="A47" s="39" t="s">
        <v>96</v>
      </c>
      <c r="B47" s="39" t="s">
        <v>487</v>
      </c>
      <c r="C47" s="39" t="s">
        <v>106</v>
      </c>
      <c r="D47" s="39" t="s">
        <v>444</v>
      </c>
      <c r="E47" s="39" t="s">
        <v>445</v>
      </c>
    </row>
    <row r="48" customFormat="false" ht="15" hidden="false" customHeight="false" outlineLevel="0" collapsed="false">
      <c r="A48" s="39" t="s">
        <v>111</v>
      </c>
      <c r="B48" s="39" t="s">
        <v>488</v>
      </c>
      <c r="C48" s="39" t="s">
        <v>117</v>
      </c>
      <c r="D48" s="39" t="s">
        <v>444</v>
      </c>
      <c r="E48" s="39" t="s">
        <v>445</v>
      </c>
    </row>
    <row r="49" customFormat="false" ht="15" hidden="false" customHeight="false" outlineLevel="0" collapsed="false">
      <c r="A49" s="39" t="s">
        <v>96</v>
      </c>
      <c r="B49" s="39" t="s">
        <v>489</v>
      </c>
      <c r="C49" s="39" t="s">
        <v>107</v>
      </c>
      <c r="D49" s="39" t="s">
        <v>444</v>
      </c>
      <c r="E49" s="39" t="s">
        <v>445</v>
      </c>
    </row>
    <row r="50" customFormat="false" ht="15" hidden="false" customHeight="false" outlineLevel="0" collapsed="false">
      <c r="A50" s="39" t="s">
        <v>111</v>
      </c>
      <c r="B50" s="39" t="s">
        <v>490</v>
      </c>
      <c r="C50" s="39" t="s">
        <v>116</v>
      </c>
      <c r="D50" s="39" t="s">
        <v>444</v>
      </c>
      <c r="E50" s="39" t="s">
        <v>445</v>
      </c>
    </row>
    <row r="51" customFormat="false" ht="15" hidden="false" customHeight="false" outlineLevel="0" collapsed="false">
      <c r="A51" s="39" t="s">
        <v>96</v>
      </c>
      <c r="B51" s="39" t="s">
        <v>491</v>
      </c>
      <c r="C51" s="39" t="s">
        <v>103</v>
      </c>
      <c r="D51" s="39" t="s">
        <v>444</v>
      </c>
      <c r="E51" s="39" t="s">
        <v>445</v>
      </c>
    </row>
    <row r="52" customFormat="false" ht="15" hidden="false" customHeight="false" outlineLevel="0" collapsed="false">
      <c r="A52" s="39" t="s">
        <v>111</v>
      </c>
      <c r="B52" s="39" t="s">
        <v>492</v>
      </c>
      <c r="C52" s="39" t="s">
        <v>114</v>
      </c>
      <c r="D52" s="39" t="s">
        <v>444</v>
      </c>
      <c r="E52" s="39" t="s">
        <v>445</v>
      </c>
    </row>
    <row r="53" customFormat="false" ht="15" hidden="false" customHeight="false" outlineLevel="0" collapsed="false">
      <c r="A53" s="39" t="s">
        <v>96</v>
      </c>
      <c r="B53" s="39" t="s">
        <v>493</v>
      </c>
      <c r="C53" s="39" t="s">
        <v>107</v>
      </c>
      <c r="D53" s="39" t="s">
        <v>444</v>
      </c>
      <c r="E53" s="39" t="s">
        <v>445</v>
      </c>
    </row>
    <row r="54" customFormat="false" ht="15" hidden="false" customHeight="false" outlineLevel="0" collapsed="false">
      <c r="A54" s="39" t="s">
        <v>96</v>
      </c>
      <c r="B54" s="39" t="s">
        <v>494</v>
      </c>
      <c r="C54" s="39" t="s">
        <v>104</v>
      </c>
      <c r="D54" s="39" t="s">
        <v>444</v>
      </c>
      <c r="E54" s="39" t="s">
        <v>445</v>
      </c>
    </row>
    <row r="55" customFormat="false" ht="15" hidden="false" customHeight="false" outlineLevel="0" collapsed="false">
      <c r="A55" s="39" t="s">
        <v>111</v>
      </c>
      <c r="B55" s="39" t="s">
        <v>495</v>
      </c>
      <c r="C55" s="39" t="s">
        <v>117</v>
      </c>
      <c r="D55" s="39" t="s">
        <v>444</v>
      </c>
      <c r="E55" s="39" t="s">
        <v>445</v>
      </c>
    </row>
    <row r="56" customFormat="false" ht="15" hidden="false" customHeight="false" outlineLevel="0" collapsed="false">
      <c r="A56" s="39" t="s">
        <v>111</v>
      </c>
      <c r="B56" s="39" t="s">
        <v>496</v>
      </c>
      <c r="C56" s="39" t="s">
        <v>114</v>
      </c>
      <c r="D56" s="39" t="s">
        <v>444</v>
      </c>
      <c r="E56" s="39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26"/>
    <col collapsed="false" customWidth="true" hidden="false" outlineLevel="0" max="8" min="4" style="0" width="13"/>
    <col collapsed="false" customWidth="true" hidden="false" outlineLevel="0" max="9" min="9" style="0" width="42"/>
  </cols>
  <sheetData>
    <row r="1" customFormat="false" ht="23.85" hidden="false" customHeight="false" outlineLevel="0" collapsed="false">
      <c r="A1" s="17" t="s">
        <v>111</v>
      </c>
      <c r="B1" s="17" t="s">
        <v>139</v>
      </c>
      <c r="C1" s="17" t="s">
        <v>497</v>
      </c>
      <c r="D1" s="17" t="s">
        <v>498</v>
      </c>
      <c r="E1" s="17" t="s">
        <v>499</v>
      </c>
      <c r="F1" s="17" t="s">
        <v>500</v>
      </c>
      <c r="G1" s="17" t="s">
        <v>501</v>
      </c>
      <c r="H1" s="17" t="s">
        <v>502</v>
      </c>
      <c r="I1" s="17" t="s">
        <v>503</v>
      </c>
    </row>
    <row r="2" customFormat="false" ht="15" hidden="false" customHeight="false" outlineLevel="0" collapsed="false">
      <c r="A2" s="4" t="s">
        <v>114</v>
      </c>
      <c r="B2" s="18" t="n">
        <v>19200</v>
      </c>
      <c r="C2" s="4" t="s">
        <v>504</v>
      </c>
      <c r="D2" s="18" t="n">
        <v>23900</v>
      </c>
      <c r="E2" s="18" t="n">
        <v>23900</v>
      </c>
      <c r="F2" s="18" t="n">
        <v>24500</v>
      </c>
      <c r="G2" s="18" t="n">
        <v>24500</v>
      </c>
      <c r="H2" s="18" t="n">
        <v>24500</v>
      </c>
      <c r="I2" s="4" t="s">
        <v>505</v>
      </c>
    </row>
    <row r="3" customFormat="false" ht="15" hidden="false" customHeight="false" outlineLevel="0" collapsed="false">
      <c r="A3" s="4" t="s">
        <v>115</v>
      </c>
      <c r="B3" s="18" t="n">
        <v>4100</v>
      </c>
      <c r="C3" s="4" t="s">
        <v>504</v>
      </c>
      <c r="D3" s="18" t="n">
        <v>5900</v>
      </c>
      <c r="E3" s="18" t="n">
        <v>5900</v>
      </c>
      <c r="F3" s="18" t="n">
        <v>6200</v>
      </c>
      <c r="G3" s="18" t="n">
        <v>6300</v>
      </c>
      <c r="H3" s="18" t="n">
        <v>6200</v>
      </c>
      <c r="I3" s="4" t="s">
        <v>506</v>
      </c>
    </row>
    <row r="4" customFormat="false" ht="15" hidden="false" customHeight="false" outlineLevel="0" collapsed="false">
      <c r="A4" s="4" t="s">
        <v>116</v>
      </c>
      <c r="B4" s="18" t="n">
        <v>290</v>
      </c>
      <c r="C4" s="4" t="s">
        <v>507</v>
      </c>
      <c r="D4" s="18" t="n">
        <v>620</v>
      </c>
      <c r="E4" s="18" t="n">
        <v>620</v>
      </c>
      <c r="F4" s="18" t="n">
        <v>620</v>
      </c>
      <c r="G4" s="18" t="n">
        <v>620</v>
      </c>
      <c r="H4" s="18" t="n">
        <v>620</v>
      </c>
      <c r="I4" s="4"/>
    </row>
    <row r="5" customFormat="false" ht="15" hidden="false" customHeight="false" outlineLevel="0" collapsed="false">
      <c r="A5" s="4" t="s">
        <v>117</v>
      </c>
      <c r="B5" s="18" t="n">
        <v>780</v>
      </c>
      <c r="C5" s="4" t="s">
        <v>507</v>
      </c>
      <c r="D5" s="18" t="n">
        <v>1450</v>
      </c>
      <c r="E5" s="18" t="n">
        <v>1450</v>
      </c>
      <c r="F5" s="18" t="n">
        <v>1450</v>
      </c>
      <c r="G5" s="18" t="n">
        <v>1450</v>
      </c>
      <c r="H5" s="18" t="n">
        <v>1450</v>
      </c>
      <c r="I5" s="4"/>
    </row>
    <row r="6" customFormat="false" ht="15" hidden="false" customHeight="false" outlineLevel="0" collapsed="false">
      <c r="A6" s="4" t="s">
        <v>118</v>
      </c>
      <c r="B6" s="18" t="n">
        <v>590</v>
      </c>
      <c r="C6" s="4" t="s">
        <v>507</v>
      </c>
      <c r="D6" s="18" t="n">
        <v>1180</v>
      </c>
      <c r="E6" s="18" t="n">
        <v>1180</v>
      </c>
      <c r="F6" s="18" t="n">
        <v>1180</v>
      </c>
      <c r="G6" s="18" t="n">
        <v>1180</v>
      </c>
      <c r="H6" s="18" t="n">
        <v>1180</v>
      </c>
      <c r="I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9" min="5" style="0" width="18"/>
  </cols>
  <sheetData>
    <row r="1" customFormat="false" ht="23.85" hidden="false" customHeight="false" outlineLevel="0" collapsed="false">
      <c r="A1" s="17" t="s">
        <v>96</v>
      </c>
      <c r="B1" s="17" t="s">
        <v>87</v>
      </c>
      <c r="C1" s="17" t="s">
        <v>508</v>
      </c>
      <c r="D1" s="17" t="s">
        <v>509</v>
      </c>
      <c r="E1" s="17" t="s">
        <v>510</v>
      </c>
      <c r="F1" s="17" t="s">
        <v>511</v>
      </c>
      <c r="G1" s="17" t="s">
        <v>512</v>
      </c>
      <c r="H1" s="17" t="s">
        <v>513</v>
      </c>
      <c r="I1" s="17" t="s">
        <v>514</v>
      </c>
    </row>
    <row r="2" customFormat="false" ht="15" hidden="false" customHeight="false" outlineLevel="0" collapsed="false">
      <c r="A2" s="4" t="s">
        <v>103</v>
      </c>
      <c r="B2" s="4" t="s">
        <v>91</v>
      </c>
      <c r="C2" s="18" t="n">
        <v>220000</v>
      </c>
      <c r="D2" s="20" t="n">
        <v>0.025</v>
      </c>
      <c r="E2" s="18" t="n">
        <v>589900</v>
      </c>
      <c r="F2" s="18" t="n">
        <v>680030</v>
      </c>
      <c r="G2" s="18" t="n">
        <v>720050</v>
      </c>
      <c r="H2" s="18" t="n">
        <v>776720</v>
      </c>
      <c r="I2" s="18" t="n">
        <v>466010</v>
      </c>
    </row>
    <row r="3" customFormat="false" ht="15" hidden="false" customHeight="false" outlineLevel="0" collapsed="false">
      <c r="A3" s="4" t="s">
        <v>104</v>
      </c>
      <c r="B3" s="4" t="s">
        <v>93</v>
      </c>
      <c r="C3" s="18" t="n">
        <v>280000</v>
      </c>
      <c r="D3" s="20" t="n">
        <v>0.045</v>
      </c>
      <c r="E3" s="18" t="n">
        <v>210250</v>
      </c>
      <c r="F3" s="18" t="n">
        <v>225250</v>
      </c>
      <c r="G3" s="18" t="n">
        <v>235050</v>
      </c>
      <c r="H3" s="18" t="n">
        <v>243540</v>
      </c>
      <c r="I3" s="18" t="n">
        <v>242980</v>
      </c>
    </row>
    <row r="4" customFormat="false" ht="15" hidden="false" customHeight="false" outlineLevel="0" collapsed="false">
      <c r="A4" s="4" t="s">
        <v>105</v>
      </c>
      <c r="B4" s="4" t="s">
        <v>92</v>
      </c>
      <c r="C4" s="18" t="n">
        <v>250000</v>
      </c>
      <c r="D4" s="20" t="n">
        <v>0.03</v>
      </c>
      <c r="E4" s="18" t="n">
        <v>520160</v>
      </c>
      <c r="F4" s="18" t="n">
        <v>609860</v>
      </c>
      <c r="G4" s="18" t="n">
        <v>689890</v>
      </c>
      <c r="H4" s="18" t="n">
        <v>758320</v>
      </c>
      <c r="I4" s="18" t="n">
        <v>711150</v>
      </c>
    </row>
    <row r="5" customFormat="false" ht="15" hidden="false" customHeight="false" outlineLevel="0" collapsed="false">
      <c r="A5" s="4" t="s">
        <v>106</v>
      </c>
      <c r="B5" s="4" t="s">
        <v>92</v>
      </c>
      <c r="C5" s="18" t="n">
        <v>260000</v>
      </c>
      <c r="D5" s="20" t="n">
        <v>0.035</v>
      </c>
      <c r="E5" s="18"/>
      <c r="F5" s="18"/>
      <c r="G5" s="18" t="n">
        <v>150160</v>
      </c>
      <c r="H5" s="18" t="n">
        <v>232750</v>
      </c>
      <c r="I5" s="18" t="n">
        <v>384260</v>
      </c>
    </row>
    <row r="6" customFormat="false" ht="15" hidden="false" customHeight="false" outlineLevel="0" collapsed="false">
      <c r="A6" s="4" t="s">
        <v>107</v>
      </c>
      <c r="B6" s="4" t="s">
        <v>91</v>
      </c>
      <c r="C6" s="18" t="n">
        <v>300000</v>
      </c>
      <c r="D6" s="20" t="n">
        <v>0.05</v>
      </c>
      <c r="E6" s="18" t="n">
        <v>379980</v>
      </c>
      <c r="F6" s="18" t="n">
        <v>429840</v>
      </c>
      <c r="G6" s="18" t="n">
        <v>470100</v>
      </c>
      <c r="H6" s="18" t="n">
        <v>507020</v>
      </c>
      <c r="I6" s="18" t="n">
        <v>516740</v>
      </c>
    </row>
    <row r="7" customFormat="false" ht="15" hidden="false" customHeight="false" outlineLevel="0" collapsed="false">
      <c r="A7" s="4" t="s">
        <v>108</v>
      </c>
      <c r="B7" s="4" t="s">
        <v>93</v>
      </c>
      <c r="C7" s="18" t="n">
        <v>200000</v>
      </c>
      <c r="D7" s="20" t="n">
        <v>0.06</v>
      </c>
      <c r="E7" s="18" t="n">
        <v>409670</v>
      </c>
      <c r="F7" s="18" t="n">
        <v>470280</v>
      </c>
      <c r="G7" s="18" t="n">
        <v>509510</v>
      </c>
      <c r="H7" s="18" t="n">
        <v>564980</v>
      </c>
      <c r="I7" s="18" t="n">
        <v>532440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7" t="s">
        <v>87</v>
      </c>
      <c r="B1" s="17" t="s">
        <v>75</v>
      </c>
      <c r="C1" s="17" t="s">
        <v>515</v>
      </c>
      <c r="D1" s="17" t="s">
        <v>516</v>
      </c>
      <c r="E1" s="17" t="s">
        <v>517</v>
      </c>
      <c r="F1" s="17" t="s">
        <v>518</v>
      </c>
      <c r="G1" s="17" t="s">
        <v>519</v>
      </c>
    </row>
    <row r="2" customFormat="false" ht="15" hidden="false" customHeight="false" outlineLevel="0" collapsed="false">
      <c r="A2" s="4" t="s">
        <v>91</v>
      </c>
      <c r="B2" s="4" t="s">
        <v>80</v>
      </c>
      <c r="C2" s="18" t="n">
        <v>45000</v>
      </c>
      <c r="D2" s="18" t="n">
        <v>182000</v>
      </c>
      <c r="E2" s="18" t="n">
        <v>23310</v>
      </c>
      <c r="F2" s="18" t="n">
        <v>6153</v>
      </c>
      <c r="G2" s="18" t="n">
        <f aca="false">SUM(C2:F2)</f>
        <v>256463</v>
      </c>
    </row>
    <row r="3" customFormat="false" ht="15" hidden="false" customHeight="false" outlineLevel="0" collapsed="false">
      <c r="A3" s="4" t="s">
        <v>91</v>
      </c>
      <c r="B3" s="4" t="s">
        <v>81</v>
      </c>
      <c r="C3" s="18" t="n">
        <v>45000</v>
      </c>
      <c r="D3" s="18" t="n">
        <v>179775</v>
      </c>
      <c r="E3" s="18" t="n">
        <v>23171</v>
      </c>
      <c r="F3" s="18" t="n">
        <v>15685</v>
      </c>
      <c r="G3" s="18" t="n">
        <f aca="false">SUM(C3:F3)</f>
        <v>263631</v>
      </c>
    </row>
    <row r="4" customFormat="false" ht="15" hidden="false" customHeight="false" outlineLevel="0" collapsed="false">
      <c r="A4" s="4" t="s">
        <v>91</v>
      </c>
      <c r="B4" s="4" t="s">
        <v>82</v>
      </c>
      <c r="C4" s="18" t="n">
        <v>45000</v>
      </c>
      <c r="D4" s="18" t="n">
        <v>189342</v>
      </c>
      <c r="E4" s="18" t="n">
        <v>24529</v>
      </c>
      <c r="F4" s="18" t="n">
        <v>6581</v>
      </c>
      <c r="G4" s="18" t="n">
        <f aca="false">SUM(C4:F4)</f>
        <v>265452</v>
      </c>
    </row>
    <row r="5" customFormat="false" ht="15" hidden="false" customHeight="false" outlineLevel="0" collapsed="false">
      <c r="A5" s="4" t="s">
        <v>91</v>
      </c>
      <c r="B5" s="4" t="s">
        <v>83</v>
      </c>
      <c r="C5" s="18" t="n">
        <v>45000</v>
      </c>
      <c r="D5" s="18" t="n">
        <v>202472</v>
      </c>
      <c r="E5" s="18" t="n">
        <v>24779</v>
      </c>
      <c r="F5" s="18" t="n">
        <v>8824</v>
      </c>
      <c r="G5" s="18" t="n">
        <f aca="false">SUM(C5:F5)</f>
        <v>281075</v>
      </c>
    </row>
    <row r="6" customFormat="false" ht="15" hidden="false" customHeight="false" outlineLevel="0" collapsed="false">
      <c r="A6" s="4" t="s">
        <v>91</v>
      </c>
      <c r="B6" s="4" t="s">
        <v>84</v>
      </c>
      <c r="C6" s="18" t="n">
        <v>45000</v>
      </c>
      <c r="D6" s="18" t="n">
        <v>198872</v>
      </c>
      <c r="E6" s="18" t="n">
        <v>24683</v>
      </c>
      <c r="F6" s="18" t="n">
        <v>10856</v>
      </c>
      <c r="G6" s="18" t="n">
        <f aca="false">SUM(C6:F6)</f>
        <v>279411</v>
      </c>
    </row>
    <row r="7" customFormat="false" ht="15" hidden="false" customHeight="false" outlineLevel="0" collapsed="false">
      <c r="A7" s="4" t="s">
        <v>92</v>
      </c>
      <c r="B7" s="4" t="s">
        <v>80</v>
      </c>
      <c r="C7" s="18" t="n">
        <v>38000</v>
      </c>
      <c r="D7" s="18" t="n">
        <v>151000</v>
      </c>
      <c r="E7" s="18" t="n">
        <v>17844</v>
      </c>
      <c r="F7" s="18" t="n">
        <v>8124</v>
      </c>
      <c r="G7" s="18" t="n">
        <f aca="false">SUM(C7:F7)</f>
        <v>214968</v>
      </c>
    </row>
    <row r="8" customFormat="false" ht="15" hidden="false" customHeight="false" outlineLevel="0" collapsed="false">
      <c r="A8" s="4" t="s">
        <v>92</v>
      </c>
      <c r="B8" s="4" t="s">
        <v>81</v>
      </c>
      <c r="C8" s="18" t="n">
        <v>38000</v>
      </c>
      <c r="D8" s="18" t="n">
        <v>148373</v>
      </c>
      <c r="E8" s="18" t="n">
        <v>19768</v>
      </c>
      <c r="F8" s="18" t="n">
        <v>16874</v>
      </c>
      <c r="G8" s="18" t="n">
        <f aca="false">SUM(C8:F8)</f>
        <v>223015</v>
      </c>
    </row>
    <row r="9" customFormat="false" ht="15" hidden="false" customHeight="false" outlineLevel="0" collapsed="false">
      <c r="A9" s="4" t="s">
        <v>92</v>
      </c>
      <c r="B9" s="4" t="s">
        <v>82</v>
      </c>
      <c r="C9" s="18" t="n">
        <v>38000</v>
      </c>
      <c r="D9" s="18" t="n">
        <v>147350</v>
      </c>
      <c r="E9" s="18" t="n">
        <v>18649</v>
      </c>
      <c r="F9" s="18" t="n">
        <v>6168</v>
      </c>
      <c r="G9" s="18" t="n">
        <f aca="false">SUM(C9:F9)</f>
        <v>210167</v>
      </c>
    </row>
    <row r="10" customFormat="false" ht="15" hidden="false" customHeight="false" outlineLevel="0" collapsed="false">
      <c r="A10" s="4" t="s">
        <v>92</v>
      </c>
      <c r="B10" s="4" t="s">
        <v>83</v>
      </c>
      <c r="C10" s="18" t="n">
        <v>38000</v>
      </c>
      <c r="D10" s="18" t="n">
        <v>143071</v>
      </c>
      <c r="E10" s="18" t="n">
        <v>19444</v>
      </c>
      <c r="F10" s="18" t="n">
        <v>6171</v>
      </c>
      <c r="G10" s="18" t="n">
        <f aca="false">SUM(C10:F10)</f>
        <v>206686</v>
      </c>
    </row>
    <row r="11" customFormat="false" ht="15" hidden="false" customHeight="false" outlineLevel="0" collapsed="false">
      <c r="A11" s="4" t="s">
        <v>92</v>
      </c>
      <c r="B11" s="4" t="s">
        <v>84</v>
      </c>
      <c r="C11" s="18" t="n">
        <v>38000</v>
      </c>
      <c r="D11" s="18" t="n">
        <v>171860</v>
      </c>
      <c r="E11" s="18" t="n">
        <v>20179</v>
      </c>
      <c r="F11" s="18" t="n">
        <v>12192</v>
      </c>
      <c r="G11" s="18" t="n">
        <f aca="false">SUM(C11:F11)</f>
        <v>242231</v>
      </c>
    </row>
    <row r="12" customFormat="false" ht="15" hidden="false" customHeight="false" outlineLevel="0" collapsed="false">
      <c r="A12" s="4" t="s">
        <v>93</v>
      </c>
      <c r="B12" s="4" t="s">
        <v>80</v>
      </c>
      <c r="C12" s="18" t="n">
        <v>32000</v>
      </c>
      <c r="D12" s="18" t="n">
        <v>124000</v>
      </c>
      <c r="E12" s="18" t="n">
        <v>14914</v>
      </c>
      <c r="F12" s="18" t="n">
        <v>16137</v>
      </c>
      <c r="G12" s="18" t="n">
        <f aca="false">SUM(C12:F12)</f>
        <v>187051</v>
      </c>
    </row>
    <row r="13" customFormat="false" ht="15" hidden="false" customHeight="false" outlineLevel="0" collapsed="false">
      <c r="A13" s="4" t="s">
        <v>93</v>
      </c>
      <c r="B13" s="4" t="s">
        <v>81</v>
      </c>
      <c r="C13" s="18" t="n">
        <v>32000</v>
      </c>
      <c r="D13" s="18" t="n">
        <v>131874</v>
      </c>
      <c r="E13" s="18" t="n">
        <v>15221</v>
      </c>
      <c r="F13" s="18" t="n">
        <v>15887</v>
      </c>
      <c r="G13" s="18" t="n">
        <f aca="false">SUM(C13:F13)</f>
        <v>194982</v>
      </c>
    </row>
    <row r="14" customFormat="false" ht="15" hidden="false" customHeight="false" outlineLevel="0" collapsed="false">
      <c r="A14" s="4" t="s">
        <v>93</v>
      </c>
      <c r="B14" s="4" t="s">
        <v>82</v>
      </c>
      <c r="C14" s="18" t="n">
        <v>32000</v>
      </c>
      <c r="D14" s="18" t="n">
        <v>121996</v>
      </c>
      <c r="E14" s="18" t="n">
        <v>17217</v>
      </c>
      <c r="F14" s="18" t="n">
        <v>12777</v>
      </c>
      <c r="G14" s="18" t="n">
        <f aca="false">SUM(C14:F14)</f>
        <v>183990</v>
      </c>
    </row>
    <row r="15" customFormat="false" ht="15" hidden="false" customHeight="false" outlineLevel="0" collapsed="false">
      <c r="A15" s="4" t="s">
        <v>93</v>
      </c>
      <c r="B15" s="4" t="s">
        <v>83</v>
      </c>
      <c r="C15" s="18" t="n">
        <v>32000</v>
      </c>
      <c r="D15" s="18" t="n">
        <v>135940</v>
      </c>
      <c r="E15" s="18" t="n">
        <v>15947</v>
      </c>
      <c r="F15" s="18" t="n">
        <v>17337</v>
      </c>
      <c r="G15" s="18" t="n">
        <f aca="false">SUM(C15:F15)</f>
        <v>201224</v>
      </c>
    </row>
    <row r="16" customFormat="false" ht="15" hidden="false" customHeight="false" outlineLevel="0" collapsed="false">
      <c r="A16" s="4" t="s">
        <v>93</v>
      </c>
      <c r="B16" s="4" t="s">
        <v>84</v>
      </c>
      <c r="C16" s="18" t="n">
        <v>32000</v>
      </c>
      <c r="D16" s="18" t="n">
        <v>116196</v>
      </c>
      <c r="E16" s="18" t="n">
        <v>17515</v>
      </c>
      <c r="F16" s="18" t="n">
        <v>12088</v>
      </c>
      <c r="G16" s="18" t="n">
        <f aca="false">SUM(C16:F16)</f>
        <v>177799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7" t="s">
        <v>163</v>
      </c>
      <c r="B1" s="17" t="s">
        <v>520</v>
      </c>
      <c r="C1" s="17" t="s">
        <v>521</v>
      </c>
      <c r="D1" s="17" t="s">
        <v>522</v>
      </c>
      <c r="E1" s="17" t="s">
        <v>523</v>
      </c>
      <c r="F1" s="17" t="s">
        <v>524</v>
      </c>
      <c r="G1" s="17" t="s">
        <v>525</v>
      </c>
    </row>
    <row r="2" customFormat="false" ht="15" hidden="false" customHeight="false" outlineLevel="0" collapsed="false">
      <c r="A2" s="4" t="s">
        <v>187</v>
      </c>
      <c r="B2" s="4" t="s">
        <v>91</v>
      </c>
      <c r="C2" s="4" t="s">
        <v>107</v>
      </c>
      <c r="D2" s="4" t="s">
        <v>526</v>
      </c>
      <c r="E2" s="4" t="s">
        <v>527</v>
      </c>
      <c r="F2" s="18" t="n">
        <v>120000</v>
      </c>
      <c r="G2" s="4" t="n">
        <v>45</v>
      </c>
    </row>
    <row r="3" customFormat="false" ht="15" hidden="false" customHeight="false" outlineLevel="0" collapsed="false">
      <c r="A3" s="4" t="s">
        <v>176</v>
      </c>
      <c r="B3" s="4" t="s">
        <v>157</v>
      </c>
      <c r="C3" s="4" t="s">
        <v>105</v>
      </c>
      <c r="D3" s="4" t="s">
        <v>528</v>
      </c>
      <c r="E3" s="4" t="s">
        <v>529</v>
      </c>
      <c r="F3" s="18" t="n">
        <v>400000</v>
      </c>
      <c r="G3" s="4" t="n">
        <v>30</v>
      </c>
    </row>
    <row r="4" customFormat="false" ht="15" hidden="false" customHeight="false" outlineLevel="0" collapsed="false">
      <c r="A4" s="4" t="s">
        <v>197</v>
      </c>
      <c r="B4" s="4" t="s">
        <v>91</v>
      </c>
      <c r="C4" s="4" t="s">
        <v>103</v>
      </c>
      <c r="D4" s="4" t="s">
        <v>530</v>
      </c>
      <c r="E4" s="4" t="s">
        <v>531</v>
      </c>
      <c r="F4" s="18" t="n">
        <v>90000</v>
      </c>
      <c r="G4" s="4" t="n">
        <v>30</v>
      </c>
    </row>
    <row r="5" customFormat="false" ht="15" hidden="false" customHeight="false" outlineLevel="0" collapsed="false">
      <c r="A5" s="4" t="s">
        <v>178</v>
      </c>
      <c r="B5" s="4" t="s">
        <v>158</v>
      </c>
      <c r="C5" s="4" t="s">
        <v>104</v>
      </c>
      <c r="D5" s="4" t="s">
        <v>532</v>
      </c>
      <c r="E5" s="4" t="s">
        <v>533</v>
      </c>
      <c r="F5" s="18" t="n">
        <v>60000</v>
      </c>
      <c r="G5" s="4" t="n">
        <v>15</v>
      </c>
    </row>
    <row r="6" customFormat="false" ht="15" hidden="false" customHeight="false" outlineLevel="0" collapsed="false">
      <c r="A6" s="4" t="s">
        <v>211</v>
      </c>
      <c r="B6" s="4" t="s">
        <v>157</v>
      </c>
      <c r="C6" s="4" t="s">
        <v>105</v>
      </c>
      <c r="D6" s="4" t="s">
        <v>534</v>
      </c>
      <c r="E6" s="4" t="s">
        <v>535</v>
      </c>
      <c r="F6" s="18" t="n">
        <v>150000</v>
      </c>
      <c r="G6" s="4" t="n">
        <v>30</v>
      </c>
    </row>
    <row r="7" customFormat="false" ht="15" hidden="false" customHeight="false" outlineLevel="0" collapsed="false">
      <c r="A7" s="4" t="s">
        <v>214</v>
      </c>
      <c r="B7" s="4" t="s">
        <v>157</v>
      </c>
      <c r="C7" s="4" t="s">
        <v>106</v>
      </c>
      <c r="D7" s="4" t="s">
        <v>536</v>
      </c>
      <c r="E7" s="4" t="s">
        <v>537</v>
      </c>
      <c r="F7" s="18" t="n">
        <v>200000</v>
      </c>
      <c r="G7" s="4" t="n">
        <v>45</v>
      </c>
    </row>
    <row r="8" customFormat="false" ht="15" hidden="false" customHeight="false" outlineLevel="0" collapsed="false">
      <c r="A8" s="4" t="s">
        <v>193</v>
      </c>
      <c r="B8" s="4" t="s">
        <v>158</v>
      </c>
      <c r="C8" s="4" t="s">
        <v>108</v>
      </c>
      <c r="D8" s="4" t="s">
        <v>538</v>
      </c>
      <c r="E8" s="4" t="s">
        <v>539</v>
      </c>
      <c r="F8" s="18" t="n">
        <v>100000</v>
      </c>
      <c r="G8" s="4" t="n">
        <v>15</v>
      </c>
    </row>
    <row r="9" customFormat="false" ht="15" hidden="false" customHeight="false" outlineLevel="0" collapsed="false">
      <c r="A9" s="4" t="s">
        <v>185</v>
      </c>
      <c r="B9" s="4" t="s">
        <v>91</v>
      </c>
      <c r="C9" s="4" t="s">
        <v>103</v>
      </c>
      <c r="D9" s="4" t="s">
        <v>540</v>
      </c>
      <c r="E9" s="4" t="s">
        <v>541</v>
      </c>
      <c r="F9" s="18" t="n">
        <v>80000</v>
      </c>
      <c r="G9" s="4" t="n">
        <v>30</v>
      </c>
    </row>
    <row r="10" customFormat="false" ht="15" hidden="false" customHeight="false" outlineLevel="0" collapsed="false">
      <c r="A10" s="4" t="s">
        <v>226</v>
      </c>
      <c r="B10" s="4" t="s">
        <v>158</v>
      </c>
      <c r="C10" s="4" t="s">
        <v>108</v>
      </c>
      <c r="D10" s="4" t="s">
        <v>542</v>
      </c>
      <c r="E10" s="4" t="s">
        <v>543</v>
      </c>
      <c r="F10" s="18" t="n">
        <v>50000</v>
      </c>
      <c r="G10" s="4" t="n">
        <v>45</v>
      </c>
    </row>
    <row r="11" customFormat="false" ht="15" hidden="false" customHeight="false" outlineLevel="0" collapsed="false">
      <c r="A11" s="4" t="s">
        <v>172</v>
      </c>
      <c r="B11" s="4" t="s">
        <v>91</v>
      </c>
      <c r="C11" s="4" t="s">
        <v>107</v>
      </c>
      <c r="D11" s="4" t="s">
        <v>544</v>
      </c>
      <c r="E11" s="4" t="s">
        <v>545</v>
      </c>
      <c r="F11" s="18" t="n">
        <v>40000</v>
      </c>
      <c r="G11" s="4" t="n">
        <v>7</v>
      </c>
    </row>
    <row r="12" customFormat="false" ht="15" hidden="false" customHeight="false" outlineLevel="0" collapsed="false">
      <c r="A12" s="4" t="s">
        <v>239</v>
      </c>
      <c r="B12" s="4" t="s">
        <v>157</v>
      </c>
      <c r="C12" s="4" t="s">
        <v>105</v>
      </c>
      <c r="D12" s="4" t="s">
        <v>546</v>
      </c>
      <c r="E12" s="4" t="s">
        <v>547</v>
      </c>
      <c r="F12" s="18" t="n">
        <v>70000</v>
      </c>
      <c r="G12" s="4" t="n">
        <v>30</v>
      </c>
    </row>
    <row r="13" customFormat="false" ht="15" hidden="false" customHeight="false" outlineLevel="0" collapsed="false">
      <c r="A13" s="4" t="s">
        <v>207</v>
      </c>
      <c r="B13" s="4" t="s">
        <v>158</v>
      </c>
      <c r="C13" s="4" t="s">
        <v>104</v>
      </c>
      <c r="D13" s="4" t="s">
        <v>548</v>
      </c>
      <c r="E13" s="4" t="s">
        <v>549</v>
      </c>
      <c r="F13" s="18" t="n">
        <v>180000</v>
      </c>
      <c r="G13" s="4" t="n">
        <v>30</v>
      </c>
    </row>
    <row r="14" customFormat="false" ht="15" hidden="false" customHeight="false" outlineLevel="0" collapsed="false">
      <c r="A14" s="4" t="s">
        <v>199</v>
      </c>
      <c r="B14" s="4" t="s">
        <v>91</v>
      </c>
      <c r="C14" s="4" t="s">
        <v>107</v>
      </c>
      <c r="D14" s="4" t="s">
        <v>550</v>
      </c>
      <c r="E14" s="4" t="s">
        <v>551</v>
      </c>
      <c r="F14" s="18" t="n">
        <v>130000</v>
      </c>
      <c r="G14" s="4" t="n">
        <v>30</v>
      </c>
    </row>
    <row r="15" customFormat="false" ht="15" hidden="false" customHeight="false" outlineLevel="0" collapsed="false">
      <c r="A15" s="4" t="s">
        <v>552</v>
      </c>
      <c r="B15" s="4" t="s">
        <v>157</v>
      </c>
      <c r="C15" s="4" t="s">
        <v>106</v>
      </c>
      <c r="D15" s="4" t="s">
        <v>553</v>
      </c>
      <c r="E15" s="4" t="s">
        <v>554</v>
      </c>
      <c r="F15" s="18" t="n">
        <v>160000</v>
      </c>
      <c r="G15" s="4" t="n">
        <v>45</v>
      </c>
    </row>
    <row r="16" customFormat="false" ht="15" hidden="false" customHeight="false" outlineLevel="0" collapsed="false">
      <c r="A16" s="4" t="s">
        <v>191</v>
      </c>
      <c r="B16" s="4" t="s">
        <v>158</v>
      </c>
      <c r="C16" s="4" t="s">
        <v>108</v>
      </c>
      <c r="D16" s="4" t="s">
        <v>555</v>
      </c>
      <c r="E16" s="4" t="s">
        <v>556</v>
      </c>
      <c r="F16" s="18" t="n">
        <v>45000</v>
      </c>
      <c r="G16" s="4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2026-09-06T21:09:58Z</dcterms:created>
  <dc:creator>openpyxl</dc:creator>
  <dc:description/>
  <dc:language>en-US</dc:language>
  <cp:lastModifiedBy/>
  <dcterms:modified xsi:type="dcterms:W3CDTF">2026-09-06T21:09:59Z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